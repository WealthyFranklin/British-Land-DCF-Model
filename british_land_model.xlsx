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ilskastberg/Desktop/Skrivbord – MacBook Air som tillhör nils/Investing/Analyser/British_Land/"/>
    </mc:Choice>
  </mc:AlternateContent>
  <xr:revisionPtr revIDLastSave="0" documentId="13_ncr:1_{A572913F-43AF-CB4C-9EF5-25BBCFF7D57F}" xr6:coauthVersionLast="47" xr6:coauthVersionMax="47" xr10:uidLastSave="{00000000-0000-0000-0000-000000000000}"/>
  <bookViews>
    <workbookView xWindow="0" yWindow="600" windowWidth="28800" windowHeight="16320" tabRatio="500" activeTab="4" xr2:uid="{00000000-000D-0000-FFFF-FFFF00000000}"/>
  </bookViews>
  <sheets>
    <sheet name="Overview" sheetId="1" r:id="rId1"/>
    <sheet name="Assumptions" sheetId="2" r:id="rId2"/>
    <sheet name="Portfolio" sheetId="3" r:id="rId3"/>
    <sheet name="DCF Valuation" sheetId="4" r:id="rId4"/>
    <sheet name="Char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0" i="4" l="1"/>
  <c r="E60" i="4"/>
  <c r="D60" i="4"/>
  <c r="C60" i="4"/>
  <c r="B60" i="4"/>
  <c r="F59" i="4"/>
  <c r="E59" i="4"/>
  <c r="D59" i="4"/>
  <c r="C59" i="4"/>
  <c r="B59" i="4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D50" i="4"/>
  <c r="D51" i="4" s="1"/>
  <c r="C50" i="4"/>
  <c r="C51" i="4" s="1"/>
  <c r="B50" i="4"/>
  <c r="B51" i="4" s="1"/>
  <c r="D46" i="4"/>
  <c r="C46" i="4"/>
  <c r="B46" i="4"/>
  <c r="D44" i="4"/>
  <c r="C44" i="4"/>
  <c r="B44" i="4"/>
  <c r="D42" i="4"/>
  <c r="C42" i="4"/>
  <c r="B42" i="4"/>
  <c r="D40" i="4"/>
  <c r="C40" i="4"/>
  <c r="B40" i="4"/>
  <c r="C25" i="4"/>
  <c r="B25" i="4"/>
  <c r="C24" i="4"/>
  <c r="B24" i="4"/>
  <c r="C17" i="4"/>
  <c r="C18" i="4" s="1"/>
  <c r="B17" i="4"/>
  <c r="B18" i="4" s="1"/>
  <c r="D16" i="4"/>
  <c r="D24" i="4" s="1"/>
  <c r="C16" i="4"/>
  <c r="B16" i="4"/>
  <c r="D23" i="1"/>
  <c r="C23" i="1"/>
  <c r="B23" i="1"/>
  <c r="D22" i="1"/>
  <c r="C22" i="1"/>
  <c r="B22" i="1"/>
  <c r="B19" i="4" l="1"/>
  <c r="B26" i="4"/>
  <c r="C26" i="4"/>
  <c r="C19" i="4"/>
  <c r="D17" i="4"/>
  <c r="D18" i="4" l="1"/>
  <c r="D25" i="4"/>
  <c r="C27" i="4"/>
  <c r="C20" i="4"/>
  <c r="B27" i="4"/>
  <c r="B20" i="4"/>
  <c r="B32" i="4" l="1"/>
  <c r="B33" i="4" s="1"/>
  <c r="B34" i="4" s="1"/>
  <c r="B38" i="4" s="1"/>
  <c r="B28" i="4"/>
  <c r="B29" i="4" s="1"/>
  <c r="B37" i="4" s="1"/>
  <c r="B39" i="4" s="1"/>
  <c r="B41" i="4" s="1"/>
  <c r="B43" i="4" s="1"/>
  <c r="C28" i="4"/>
  <c r="C29" i="4" s="1"/>
  <c r="C37" i="4" s="1"/>
  <c r="C39" i="4" s="1"/>
  <c r="C41" i="4" s="1"/>
  <c r="C43" i="4" s="1"/>
  <c r="C32" i="4"/>
  <c r="C33" i="4" s="1"/>
  <c r="C34" i="4" s="1"/>
  <c r="C38" i="4" s="1"/>
  <c r="D26" i="4"/>
  <c r="D19" i="4"/>
  <c r="B24" i="1" l="1"/>
  <c r="B47" i="4"/>
  <c r="B26" i="1" s="1"/>
  <c r="B45" i="4"/>
  <c r="B25" i="1" s="1"/>
  <c r="C47" i="4"/>
  <c r="C26" i="1" s="1"/>
  <c r="C24" i="1"/>
  <c r="C45" i="4"/>
  <c r="C25" i="1" s="1"/>
  <c r="D20" i="4"/>
  <c r="D27" i="4"/>
  <c r="D28" i="4" l="1"/>
  <c r="D29" i="4" s="1"/>
  <c r="D37" i="4" s="1"/>
  <c r="D39" i="4" s="1"/>
  <c r="D41" i="4" s="1"/>
  <c r="D43" i="4" s="1"/>
  <c r="D32" i="4"/>
  <c r="D33" i="4" s="1"/>
  <c r="D34" i="4" s="1"/>
  <c r="D38" i="4" s="1"/>
  <c r="D24" i="1" l="1"/>
  <c r="D47" i="4"/>
  <c r="D26" i="1" s="1"/>
  <c r="D45" i="4"/>
  <c r="D25" i="1" s="1"/>
</calcChain>
</file>

<file path=xl/sharedStrings.xml><?xml version="1.0" encoding="utf-8"?>
<sst xmlns="http://schemas.openxmlformats.org/spreadsheetml/2006/main" count="251" uniqueCount="220">
  <si>
    <t>BRITISH LAND PLC (BLND.L) — INVESTMENT ANALYSIS</t>
  </si>
  <si>
    <t>UK REIT | London Campuses, Retail Parks, Urban Logistics | FY ending 31 March</t>
  </si>
  <si>
    <t xml:space="preserve">  KEY METRICS  (FY25 Actuals)</t>
  </si>
  <si>
    <t xml:space="preserve">  Portfolio Value (£bn)</t>
  </si>
  <si>
    <t>9.5</t>
  </si>
  <si>
    <t>Proportionally consolidated, inc. share of JVs</t>
  </si>
  <si>
    <t xml:space="preserve">  EPRA NTA per share (p)</t>
  </si>
  <si>
    <t>567</t>
  </si>
  <si>
    <t>Source: AR2025 p.2</t>
  </si>
  <si>
    <t xml:space="preserve">  Current Share Price (p)</t>
  </si>
  <si>
    <t>388</t>
  </si>
  <si>
    <t>As at 8 April 2026</t>
  </si>
  <si>
    <t xml:space="preserve">  Discount to NTA</t>
  </si>
  <si>
    <t>-32%</t>
  </si>
  <si>
    <t>(388-567)/567</t>
  </si>
  <si>
    <t xml:space="preserve">  Underlying EPS — diluted (p)</t>
  </si>
  <si>
    <t>28.5</t>
  </si>
  <si>
    <t>Flat vs FY24; share placing dilution offset profit growth</t>
  </si>
  <si>
    <t xml:space="preserve">  Dividend per share (p)</t>
  </si>
  <si>
    <t>22.80</t>
  </si>
  <si>
    <t>80% payout of Underlying EPS</t>
  </si>
  <si>
    <t xml:space="preserve">  Dividend Yield</t>
  </si>
  <si>
    <t>5.9%</t>
  </si>
  <si>
    <t>At 388p</t>
  </si>
  <si>
    <t xml:space="preserve">  LTV (proportionally consolidated)</t>
  </si>
  <si>
    <t>38.1%</t>
  </si>
  <si>
    <t>FY25; up from 37.3% in FY24</t>
  </si>
  <si>
    <t xml:space="preserve">  Net Debt / EBITDA</t>
  </si>
  <si>
    <t>8.0x</t>
  </si>
  <si>
    <t>Group basis; up from 6.8x in FY24</t>
  </si>
  <si>
    <t xml:space="preserve">  Weighted Avg Interest Rate</t>
  </si>
  <si>
    <t>3.6%</t>
  </si>
  <si>
    <t>97% hedged for FY26; no refi needed until late 2028</t>
  </si>
  <si>
    <t xml:space="preserve">  Occupancy — Campuses</t>
  </si>
  <si>
    <t>97%</t>
  </si>
  <si>
    <t>Excl. developments; EPRA basis 83% (new space)</t>
  </si>
  <si>
    <t xml:space="preserve">  Occupancy — Retail Parks</t>
  </si>
  <si>
    <t>99%</t>
  </si>
  <si>
    <t>Virtually full</t>
  </si>
  <si>
    <t xml:space="preserve">  Avg Lease Length to Break</t>
  </si>
  <si>
    <t>5.3 yrs</t>
  </si>
  <si>
    <t>Portfolio weighted average</t>
  </si>
  <si>
    <t xml:space="preserve">  Credit Rating (Fitch)</t>
  </si>
  <si>
    <t>A (stable)</t>
  </si>
  <si>
    <t>Held since 2018</t>
  </si>
  <si>
    <t xml:space="preserve">  DCF SCENARIO SUMMARY</t>
  </si>
  <si>
    <t>BEAR</t>
  </si>
  <si>
    <t>BASE</t>
  </si>
  <si>
    <t>BULL</t>
  </si>
  <si>
    <t>All figures from DCF Valuation sheet</t>
  </si>
  <si>
    <t xml:space="preserve">  Earnings Growth Assumption</t>
  </si>
  <si>
    <t xml:space="preserve">  Exit Multiple</t>
  </si>
  <si>
    <t xml:space="preserve">  Implied Share Price (p)</t>
  </si>
  <si>
    <t xml:space="preserve">  Upside / (Downside) vs 388p</t>
  </si>
  <si>
    <t xml:space="preserve">  vs EPRA NTA (567p)</t>
  </si>
  <si>
    <t xml:space="preserve">  INVESTMENT THESIS SUMMARY</t>
  </si>
  <si>
    <t xml:space="preserve">  • British Land is the UK's second-largest listed REIT, owning £9.5bn of London campuses, retail parks and urban logistics.</t>
  </si>
  <si>
    <t xml:space="preserve">  • The stock trades at a ~32% discount to EPRA NTA (567p vs 388p), pricing in persistent office risk and balance sheet concerns.</t>
  </si>
  <si>
    <t xml:space="preserve">  • Retail parks (32% of portfolio) are performing strongly: 99% occupancy, 6% ERV growth, virtually no supply.</t>
  </si>
  <si>
    <t xml:space="preserve">  • Campus ERV growth of 4.3% and pre-letting pipeline (2 Finsbury Ave: Citadel pre-let) suggest office demand is real.</t>
  </si>
  <si>
    <t xml:space="preserve">  • Key risk: office thesis remains contested. If WFH structural shift continues, campus values (58% of portfolio) face pressure.</t>
  </si>
  <si>
    <t xml:space="preserve">  • Management guides FY26 EPS flat, then 3-6% annual growth. No refinancing required until late 2028. Dividend yield ~5.9%.</t>
  </si>
  <si>
    <t>ASSUMPTIONS — All blue cells are inputs. Change here; everything updates.</t>
  </si>
  <si>
    <t xml:space="preserve">  SCENARIO ASSUMPTIONS</t>
  </si>
  <si>
    <t>Blue = input</t>
  </si>
  <si>
    <t xml:space="preserve">  FY25 Underlying Profit — base (£m)</t>
  </si>
  <si>
    <t xml:space="preserve">    Underlying Profit FY25 actual (£m)</t>
  </si>
  <si>
    <t>Source: AR2025. No company adjustments in FY25 so = EPRA Earnings</t>
  </si>
  <si>
    <t xml:space="preserve">    Shares outstanding — diluted (m)</t>
  </si>
  <si>
    <t>FY25 weighted avg diluted; ~1,000m post Life Science REIT completion Apr 2026</t>
  </si>
  <si>
    <t xml:space="preserve">  DCF Assumptions</t>
  </si>
  <si>
    <t xml:space="preserve">    Annual EPRA Earnings growth — FY26-30 (%)</t>
  </si>
  <si>
    <t>Bear: flat (office headwinds). Base: mgmt guidance 3-5%. Bull: full lease-up + reversion</t>
  </si>
  <si>
    <t xml:space="preserve">    Exit multiple — Year 5 EPRA Earnings (x)</t>
  </si>
  <si>
    <t>Historical range 15-20x. Bear: office discount. Bull: re-rating on improved sentiment</t>
  </si>
  <si>
    <t xml:space="preserve">    Required return / discount rate (%)</t>
  </si>
  <si>
    <t>10% — consistent with prior analyses in this series</t>
  </si>
  <si>
    <t xml:space="preserve">  Balance Sheet</t>
  </si>
  <si>
    <t xml:space="preserve">    Net debt — proportionally consolidated (£m)</t>
  </si>
  <si>
    <t>Source: AR2025 balance sheet. Adjusted net debt inc. share of JV debt</t>
  </si>
  <si>
    <t xml:space="preserve">    EPRA NTA per share (pence)</t>
  </si>
  <si>
    <t xml:space="preserve">    Current share price (pence)</t>
  </si>
  <si>
    <t xml:space="preserve">  Portfolio Assumptions (for NAV cross-check)</t>
  </si>
  <si>
    <t xml:space="preserve">    Portfolio value — proportionally consol. (£m)</t>
  </si>
  <si>
    <t>Source: AR2025. Includes share of JVs</t>
  </si>
  <si>
    <t xml:space="preserve">    Other net liabilities / assets (£m)</t>
  </si>
  <si>
    <t>Other net current liabilities per balance sheet</t>
  </si>
  <si>
    <t>BRITISH LAND — PORTFOLIO BREAKDOWN  (as at 31 March 2025)</t>
  </si>
  <si>
    <t xml:space="preserve">  SEGMENT OVERVIEW</t>
  </si>
  <si>
    <t>Segment</t>
  </si>
  <si>
    <t>Value (£m)</t>
  </si>
  <si>
    <t>% of Portfolio</t>
  </si>
  <si>
    <t>Occupancy</t>
  </si>
  <si>
    <t>ERV Growth</t>
  </si>
  <si>
    <t>Like-for-like NRI Growth</t>
  </si>
  <si>
    <t>Notes</t>
  </si>
  <si>
    <t xml:space="preserve">  Campuses (total)</t>
  </si>
  <si>
    <t>Broadgate, Regent's Place, Paddington, Canada Water</t>
  </si>
  <si>
    <t xml:space="preserve">  Retail Parks</t>
  </si>
  <si>
    <t>Acquired £738m of parks in FY25; 99% occupancy</t>
  </si>
  <si>
    <t xml:space="preserve">  Shopping Centres</t>
  </si>
  <si>
    <t>Reducing exposure; sold Meadowhall 50% stake (£360m)</t>
  </si>
  <si>
    <t xml:space="preserve">  London Urban Log.</t>
  </si>
  <si>
    <t>Early-stage; 1.2m sq ft pipeline; first scheme in Southwark</t>
  </si>
  <si>
    <t xml:space="preserve">  Other / Canada W.</t>
  </si>
  <si>
    <t>Mixed-use development; offices, retail, residential, community</t>
  </si>
  <si>
    <t xml:space="preserve">  TOTAL PORTFOLIO</t>
  </si>
  <si>
    <t xml:space="preserve">  KEY CAMPUS ASSETS</t>
  </si>
  <si>
    <t>Asset</t>
  </si>
  <si>
    <t>Location</t>
  </si>
  <si>
    <t>ERV Growth (FY25)</t>
  </si>
  <si>
    <t>Key Tenants / Activity</t>
  </si>
  <si>
    <t xml:space="preserve">  Broadgate</t>
  </si>
  <si>
    <t>City of London</t>
  </si>
  <si>
    <t>Citadel (261k sq ft pre-let), Akin, A&amp;O Shearman, Marex</t>
  </si>
  <si>
    <t xml:space="preserve">  Regent's Place</t>
  </si>
  <si>
    <t>Fitzrovia / Euston</t>
  </si>
  <si>
    <t>AI &amp; science hub; Synthesia, 7 AI occupiers; UCL/Crick proximity</t>
  </si>
  <si>
    <t xml:space="preserve">  Paddington Central</t>
  </si>
  <si>
    <t>Paddington</t>
  </si>
  <si>
    <t>4 &amp; 5 Kingdom Street; 142k sq ft of deals signed FY25</t>
  </si>
  <si>
    <t xml:space="preserve">  Canada Water</t>
  </si>
  <si>
    <t>SE London</t>
  </si>
  <si>
    <t>Long-term 53-acre mixed-use masterplan; early-stage residential/office</t>
  </si>
  <si>
    <t xml:space="preserve">  Norton Folgate</t>
  </si>
  <si>
    <t>Shoreditch</t>
  </si>
  <si>
    <t>Recently completed development; leasing underway</t>
  </si>
  <si>
    <t xml:space="preserve">  PORTFOLIO HISTORY  (Proportionally Consolidated, £m)</t>
  </si>
  <si>
    <t>Metric</t>
  </si>
  <si>
    <t>FY22</t>
  </si>
  <si>
    <t>FY23</t>
  </si>
  <si>
    <t>FY24</t>
  </si>
  <si>
    <t>FY25</t>
  </si>
  <si>
    <t xml:space="preserve">  Portfolio Valuation (£m)</t>
  </si>
  <si>
    <t xml:space="preserve">  Occupancy (%)</t>
  </si>
  <si>
    <t xml:space="preserve">  Avg Lease Length (yrs)</t>
  </si>
  <si>
    <t xml:space="preserve">  Total Property Return (%)</t>
  </si>
  <si>
    <t xml:space="preserve">  Net Rental Income (£m)</t>
  </si>
  <si>
    <t xml:space="preserve">  Underlying EPS (p)</t>
  </si>
  <si>
    <t xml:space="preserve">  LTV (%)</t>
  </si>
  <si>
    <t>DCF VALUATION — Net Rental Income basis | Cap rate exit | 10% discount rate</t>
  </si>
  <si>
    <t>Blue = inputs you can change</t>
  </si>
  <si>
    <t xml:space="preserve">  1. ASSUMPTIONS</t>
  </si>
  <si>
    <t xml:space="preserve">  FY25 Net Rental Income — actual (£m)</t>
  </si>
  <si>
    <t>Source: AR2025. Starting point for all NRI forecasts</t>
  </si>
  <si>
    <t xml:space="preserve">  Annual NRI growth rate — FY26-30 (%)</t>
  </si>
  <si>
    <t>Bear: 1% (office leasing stalls). Base: 3% (mgmt guidance). Bull: 5% (full lease-up + reversion)</t>
  </si>
  <si>
    <t xml:space="preserve">  Exit cap rate — applied to Year 5 NRI (%)</t>
  </si>
  <si>
    <t>Bear: yield expansion (office risk). Base: ~current market. Bull: yield compression as sentiment improves</t>
  </si>
  <si>
    <t xml:space="preserve">  Required return / discount rate (%)</t>
  </si>
  <si>
    <t xml:space="preserve">  Net debt — proportionally consolidated (£m)</t>
  </si>
  <si>
    <t>Source: AR2025 balance sheet</t>
  </si>
  <si>
    <t xml:space="preserve">  Shares outstanding — diluted (m)</t>
  </si>
  <si>
    <t>FY25 weighted avg diluted; approx 1,000m post Life Science REIT deal Apr 2026</t>
  </si>
  <si>
    <t xml:space="preserve">  Current share price (pence)</t>
  </si>
  <si>
    <t xml:space="preserve">  EPRA NTA per share (pence)</t>
  </si>
  <si>
    <t xml:space="preserve">  2. NET RENTAL INCOME FORECAST  (£m)</t>
  </si>
  <si>
    <t>NRI (£m)</t>
  </si>
  <si>
    <t xml:space="preserve">  FY26E</t>
  </si>
  <si>
    <t xml:space="preserve">  FY27E</t>
  </si>
  <si>
    <t xml:space="preserve">  FY28E</t>
  </si>
  <si>
    <t xml:space="preserve">  FY29E</t>
  </si>
  <si>
    <t xml:space="preserve">  FY30E</t>
  </si>
  <si>
    <t xml:space="preserve">  3. PRESENT VALUE OF NRI  (£m)</t>
  </si>
  <si>
    <t>PV of NRI (£m)</t>
  </si>
  <si>
    <t xml:space="preserve">  PV of FY26E  [÷ (1+r)^1]</t>
  </si>
  <si>
    <t xml:space="preserve">  PV of FY27E  [÷ (1+r)^2]</t>
  </si>
  <si>
    <t xml:space="preserve">  PV of FY28E  [÷ (1+r)^3]</t>
  </si>
  <si>
    <t xml:space="preserve">  PV of FY29E  [÷ (1+r)^4]</t>
  </si>
  <si>
    <t xml:space="preserve">  PV of FY30E  [÷ (1+r)^5]</t>
  </si>
  <si>
    <t xml:space="preserve">  Sum of PV of NRI (Years 1-5)</t>
  </si>
  <si>
    <t>Income collected over 5 years, in today's money</t>
  </si>
  <si>
    <t xml:space="preserve">  4. EXIT VALUE  (portfolio value at end of Year 5)</t>
  </si>
  <si>
    <t xml:space="preserve">  Year 5 NRI (£m)</t>
  </si>
  <si>
    <t xml:space="preserve">  Exit portfolio value  [Year 5 NRI ÷ cap rate]</t>
  </si>
  <si>
    <t>Cap rate = NOI / property value. Rearranged: value = NOI / cap rate</t>
  </si>
  <si>
    <t xml:space="preserve">  PV of exit portfolio value  [÷ (1+r)^5]</t>
  </si>
  <si>
    <t xml:space="preserve">  5. FROM PROPERTY VALUE TO SHARE PRICE</t>
  </si>
  <si>
    <t xml:space="preserve">  PV of exit portfolio value</t>
  </si>
  <si>
    <t xml:space="preserve">  Total Property Value (EV)</t>
  </si>
  <si>
    <t>What the property portfolio is worth today, based on these assumptions</t>
  </si>
  <si>
    <t xml:space="preserve">  Less: net debt (£m)</t>
  </si>
  <si>
    <t xml:space="preserve">  Equity Value (£m)</t>
  </si>
  <si>
    <t xml:space="preserve">  Shares outstanding (m)</t>
  </si>
  <si>
    <t xml:space="preserve">  Implied Share Price (pence)</t>
  </si>
  <si>
    <t>← Key output. Compare to current price (388p) and NTA (567p)</t>
  </si>
  <si>
    <t xml:space="preserve">  Upside / (Downside) to current price (388p)</t>
  </si>
  <si>
    <t xml:space="preserve">  Premium / (Discount) to NTA (567p)</t>
  </si>
  <si>
    <t>Negative = DCF implies buying below asset value</t>
  </si>
  <si>
    <t xml:space="preserve">  6. IMPLIED METRICS  (sanity checks)</t>
  </si>
  <si>
    <t xml:space="preserve">  Implied portfolio value at current price (£m)</t>
  </si>
  <si>
    <t>What the market currently values the portfolio at</t>
  </si>
  <si>
    <t xml:space="preserve">  Implied cap rate at current price (%)</t>
  </si>
  <si>
    <t>Market-implied cap rate based on FY25 NRI and current share price</t>
  </si>
  <si>
    <t xml:space="preserve">  7. BASE CASE SENSITIVITY — Implied Share Price (pence)</t>
  </si>
  <si>
    <t>Rows = NRI growth rate, Columns = exit cap rate</t>
  </si>
  <si>
    <t xml:space="preserve">    NRI Growth \ Exit Cap Rate →</t>
  </si>
  <si>
    <t>4.5%</t>
  </si>
  <si>
    <t>5.0%</t>
  </si>
  <si>
    <t>5.5%</t>
  </si>
  <si>
    <t>6.0%</t>
  </si>
  <si>
    <t>6.5%</t>
  </si>
  <si>
    <t xml:space="preserve">    0% NRI growth</t>
  </si>
  <si>
    <t xml:space="preserve">    2% NRI growth</t>
  </si>
  <si>
    <t xml:space="preserve">    3% NRI growth</t>
  </si>
  <si>
    <t xml:space="preserve">    5% NRI growth</t>
  </si>
  <si>
    <t xml:space="preserve">    7% NRI growth</t>
  </si>
  <si>
    <t>CHARTS — Data for visualisation (for articles / presentations)</t>
  </si>
  <si>
    <t>Portfolio Valuation (£bn)</t>
  </si>
  <si>
    <t>Year</t>
  </si>
  <si>
    <t>NTA vs Share Price (pence)</t>
  </si>
  <si>
    <t>EPRA NTA</t>
  </si>
  <si>
    <t>Share Price</t>
  </si>
  <si>
    <t>Apr-26</t>
  </si>
  <si>
    <t>Portfolio Segment Mix (£m)</t>
  </si>
  <si>
    <t>Campuses</t>
  </si>
  <si>
    <t>Retail Parks</t>
  </si>
  <si>
    <t>Shopping Centres</t>
  </si>
  <si>
    <t>Urban Logistics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</si>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</sst>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;\(0.0%\);\-"/>
    <numFmt numFmtId="165" formatCode="0.0\x"/>
    <numFmt numFmtId="166" formatCode="#,##0;\(#,##0\);\-"/>
    <numFmt numFmtId="167" formatCode="#,##0.0;\(#,##0.0\);\-"/>
    <numFmt numFmtId="168" formatCode="0.0"/>
  </numFmts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1"/>
      <color rgb="FFFFFFFF"/>
      <name val="Arial"/>
      <charset val="1"/>
    </font>
    <font>
      <sz val="9"/>
      <color rgb="FF0000FF"/>
      <name val="Arial"/>
      <charset val="1"/>
    </font>
    <font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FCE4D6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6" fontId="4" fillId="6" borderId="0" xfId="0" applyNumberFormat="1" applyFont="1" applyFill="1" applyAlignment="1">
      <alignment horizontal="right" vertical="center"/>
    </xf>
    <xf numFmtId="166" fontId="4" fillId="7" borderId="0" xfId="0" applyNumberFormat="1" applyFont="1" applyFill="1" applyAlignment="1">
      <alignment horizontal="right" vertical="center"/>
    </xf>
    <xf numFmtId="166" fontId="4" fillId="8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5" fillId="9" borderId="0" xfId="0" applyFont="1" applyFill="1" applyAlignment="1">
      <alignment horizontal="left" vertical="center"/>
    </xf>
    <xf numFmtId="167" fontId="7" fillId="3" borderId="0" xfId="0" applyNumberFormat="1" applyFont="1" applyFill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164" fontId="7" fillId="3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6" fontId="7" fillId="3" borderId="0" xfId="0" applyNumberFormat="1" applyFont="1" applyFill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166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68" fontId="4" fillId="3" borderId="0" xfId="0" applyNumberFormat="1" applyFont="1" applyFill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right" vertical="center"/>
    </xf>
    <xf numFmtId="167" fontId="4" fillId="3" borderId="0" xfId="0" applyNumberFormat="1" applyFont="1" applyFill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166" fontId="5" fillId="3" borderId="0" xfId="0" applyNumberFormat="1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6" fontId="3" fillId="5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164" fontId="4" fillId="7" borderId="0" xfId="0" applyNumberFormat="1" applyFont="1" applyFill="1" applyAlignment="1">
      <alignment horizontal="right" vertical="center"/>
    </xf>
    <xf numFmtId="164" fontId="4" fillId="8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center" vertical="center"/>
    </xf>
    <xf numFmtId="166" fontId="5" fillId="7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4F81BD"/>
      <rgbColor rgb="FF1F3864"/>
      <rgbColor rgb="FF4A7EBB"/>
      <rgbColor rgb="FF003300"/>
      <rgbColor rgb="FF333300"/>
      <rgbColor rgb="FF993300"/>
      <rgbColor rgb="FF7030A0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sv-SE" sz="1800" b="1" strike="noStrike" spc="-1">
                <a:solidFill>
                  <a:srgbClr val="000000"/>
                </a:solidFill>
                <a:latin typeface="Calibri"/>
              </a:rPr>
              <a:t>Portfolio Valuation History (£m)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Value (£m)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sv-S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Charts!$A$5:$A$8</c:f>
              <c:strCache>
                <c:ptCount val="4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Charts!$B$5:$B$8</c:f>
              <c:numCache>
                <c:formatCode>#\ ##0;\(#\ ##0\);\-</c:formatCode>
                <c:ptCount val="4"/>
                <c:pt idx="0">
                  <c:v>10647</c:v>
                </c:pt>
                <c:pt idx="1">
                  <c:v>8895</c:v>
                </c:pt>
                <c:pt idx="2">
                  <c:v>8685</c:v>
                </c:pt>
                <c:pt idx="3">
                  <c:v>9489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0-8D43-96A6-A2E9CEC02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28059"/>
        <c:axId val="38897988"/>
      </c:barChart>
      <c:catAx>
        <c:axId val="75228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sv-SE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sv-SE"/>
          </a:p>
        </c:txPr>
        <c:crossAx val="38897988"/>
        <c:crosses val="autoZero"/>
        <c:auto val="1"/>
        <c:lblAlgn val="ctr"/>
        <c:lblOffset val="100"/>
        <c:noMultiLvlLbl val="0"/>
      </c:catAx>
      <c:valAx>
        <c:axId val="388979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sv-SE" sz="1000" b="1" strike="noStrike" spc="-1">
                    <a:solidFill>
                      <a:srgbClr val="000000"/>
                    </a:solidFill>
                    <a:latin typeface="Calibri"/>
                  </a:rPr>
                  <a:t>£m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sv-SE"/>
          </a:p>
        </c:txPr>
        <c:crossAx val="75228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sv-S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sv-SE" sz="1800" b="1" strike="noStrike" spc="-1">
                <a:solidFill>
                  <a:srgbClr val="000000"/>
                </a:solidFill>
                <a:latin typeface="Calibri"/>
              </a:rPr>
              <a:t>EPRA NTA vs Share Price (pence)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Charts!$B$11</c:f>
              <c:strCache>
                <c:ptCount val="1"/>
                <c:pt idx="0">
                  <c:v>EPRA NTA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sv-S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Charts!$A$12:$A$14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Apr-26</c:v>
                </c:pt>
              </c:strCache>
            </c:strRef>
          </c:cat>
          <c:val>
            <c:numRef>
              <c:f>Charts!$B$12:$B$14</c:f>
              <c:numCache>
                <c:formatCode>#\ ##0;\(#\ ##0\);\-</c:formatCode>
                <c:ptCount val="3"/>
                <c:pt idx="0">
                  <c:v>562</c:v>
                </c:pt>
                <c:pt idx="1">
                  <c:v>567</c:v>
                </c:pt>
                <c:pt idx="2">
                  <c:v>567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7-6144-9393-4FCC143DF24B}"/>
            </c:ext>
          </c:extLst>
        </c:ser>
        <c:ser>
          <c:idx val="1"/>
          <c:order val="1"/>
          <c:tx>
            <c:strRef>
              <c:f>Charts!$C$11</c:f>
              <c:strCache>
                <c:ptCount val="1"/>
                <c:pt idx="0">
                  <c:v>Share Price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sv-S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Charts!$A$12:$A$14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Apr-26</c:v>
                </c:pt>
              </c:strCache>
            </c:strRef>
          </c:cat>
          <c:val>
            <c:numRef>
              <c:f>Charts!$C$12:$C$14</c:f>
              <c:numCache>
                <c:formatCode>#\ ##0;\(#\ ##0\);\-</c:formatCode>
                <c:ptCount val="3"/>
                <c:pt idx="0">
                  <c:v>410</c:v>
                </c:pt>
                <c:pt idx="1">
                  <c:v>420</c:v>
                </c:pt>
                <c:pt idx="2">
                  <c:v>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C7-6144-9393-4FCC143DF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424338"/>
        <c:axId val="10281718"/>
      </c:lineChart>
      <c:catAx>
        <c:axId val="914243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sv-SE"/>
          </a:p>
        </c:txPr>
        <c:crossAx val="10281718"/>
        <c:crosses val="autoZero"/>
        <c:auto val="1"/>
        <c:lblAlgn val="ctr"/>
        <c:lblOffset val="100"/>
        <c:noMultiLvlLbl val="0"/>
      </c:catAx>
      <c:valAx>
        <c:axId val="10281718"/>
        <c:scaling>
          <c:orientation val="minMax"/>
          <c:min val="3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sv-SE" sz="1000" b="1" strike="noStrike" spc="-1">
                    <a:solidFill>
                      <a:srgbClr val="000000"/>
                    </a:solidFill>
                    <a:latin typeface="Calibri"/>
                  </a:rPr>
                  <a:t>Pence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sv-SE"/>
          </a:p>
        </c:txPr>
        <c:crossAx val="91424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sv-S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sv-SE" sz="1800" b="1" strike="noStrike" spc="-1">
                <a:solidFill>
                  <a:srgbClr val="000000"/>
                </a:solidFill>
                <a:latin typeface="Calibri"/>
              </a:rPr>
              <a:t>Portfolio by Segment (£m, FY25)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Charts!$B$17</c:f>
              <c:strCache>
                <c:ptCount val="1"/>
                <c:pt idx="0">
                  <c:v>Value (£m)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sv-S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Charts!$A$18:$A$22</c:f>
              <c:strCache>
                <c:ptCount val="5"/>
                <c:pt idx="0">
                  <c:v>Campuses</c:v>
                </c:pt>
                <c:pt idx="1">
                  <c:v>Retail Parks</c:v>
                </c:pt>
                <c:pt idx="2">
                  <c:v>Shopping Centres</c:v>
                </c:pt>
                <c:pt idx="3">
                  <c:v>Urban Logistics</c:v>
                </c:pt>
                <c:pt idx="4">
                  <c:v>Other</c:v>
                </c:pt>
              </c:strCache>
            </c:strRef>
          </c:cat>
          <c:val>
            <c:numRef>
              <c:f>Charts!$B$18:$B$22</c:f>
              <c:numCache>
                <c:formatCode>#\ ##0;\(#\ ##0\);\-</c:formatCode>
                <c:ptCount val="5"/>
                <c:pt idx="0">
                  <c:v>5501</c:v>
                </c:pt>
                <c:pt idx="1">
                  <c:v>2800</c:v>
                </c:pt>
                <c:pt idx="2">
                  <c:v>540</c:v>
                </c:pt>
                <c:pt idx="3">
                  <c:v>145</c:v>
                </c:pt>
                <c:pt idx="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F-864A-A48A-CB3DC909B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22885"/>
        <c:axId val="4180408"/>
      </c:barChart>
      <c:catAx>
        <c:axId val="6002288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sv-SE"/>
          </a:p>
        </c:txPr>
        <c:crossAx val="4180408"/>
        <c:crosses val="autoZero"/>
        <c:auto val="1"/>
        <c:lblAlgn val="ctr"/>
        <c:lblOffset val="100"/>
        <c:noMultiLvlLbl val="0"/>
      </c:catAx>
      <c:valAx>
        <c:axId val="41804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sv-SE" sz="1000" b="1" strike="noStrike" spc="-1">
                    <a:solidFill>
                      <a:srgbClr val="000000"/>
                    </a:solidFill>
                    <a:latin typeface="Calibri"/>
                  </a:rPr>
                  <a:t>£m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sv-SE"/>
          </a:p>
        </c:txPr>
        <c:crossAx val="60022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sv-S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372241</xdr:colOff>
      <xdr:row>1</xdr:row>
      <xdr:rowOff>109483</xdr:rowOff>
    </xdr:from>
    <xdr:to>
      <xdr:col>20</xdr:col>
      <xdr:colOff>519481</xdr:colOff>
      <xdr:row>20</xdr:row>
      <xdr:rowOff>82694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328449</xdr:colOff>
      <xdr:row>8</xdr:row>
      <xdr:rowOff>109482</xdr:rowOff>
    </xdr:from>
    <xdr:to>
      <xdr:col>11</xdr:col>
      <xdr:colOff>475689</xdr:colOff>
      <xdr:row>27</xdr:row>
      <xdr:rowOff>82694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525517</xdr:colOff>
      <xdr:row>25</xdr:row>
      <xdr:rowOff>131380</xdr:rowOff>
    </xdr:from>
    <xdr:to>
      <xdr:col>21</xdr:col>
      <xdr:colOff>15860</xdr:colOff>
      <xdr:row>44</xdr:row>
      <xdr:rowOff>104590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34"/>
  <sheetViews>
    <sheetView zoomScale="119"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30" customWidth="1"/>
    <col min="2" max="5" width="18" customWidth="1"/>
    <col min="6" max="6" width="40" customWidth="1"/>
  </cols>
  <sheetData>
    <row r="1" spans="1:6" ht="25.5" customHeight="1" x14ac:dyDescent="0.2">
      <c r="A1" s="4" t="s">
        <v>0</v>
      </c>
      <c r="B1" s="4"/>
      <c r="C1" s="4"/>
      <c r="D1" s="4"/>
      <c r="E1" s="4"/>
      <c r="F1" s="4"/>
    </row>
    <row r="2" spans="1:6" ht="15" customHeight="1" x14ac:dyDescent="0.2">
      <c r="A2" s="3" t="s">
        <v>1</v>
      </c>
      <c r="B2" s="3"/>
      <c r="C2" s="3"/>
      <c r="D2" s="3"/>
      <c r="E2" s="3"/>
      <c r="F2" s="3"/>
    </row>
    <row r="4" spans="1:6" ht="15" customHeight="1" x14ac:dyDescent="0.2">
      <c r="A4" s="5" t="s">
        <v>2</v>
      </c>
      <c r="B4" s="6"/>
      <c r="C4" s="6"/>
      <c r="D4" s="6"/>
      <c r="E4" s="6"/>
    </row>
    <row r="5" spans="1:6" ht="15" customHeight="1" x14ac:dyDescent="0.2">
      <c r="A5" s="7" t="s">
        <v>3</v>
      </c>
      <c r="B5" s="8" t="s">
        <v>4</v>
      </c>
      <c r="F5" s="9" t="s">
        <v>5</v>
      </c>
    </row>
    <row r="6" spans="1:6" ht="15" customHeight="1" x14ac:dyDescent="0.2">
      <c r="A6" s="10" t="s">
        <v>6</v>
      </c>
      <c r="B6" s="8" t="s">
        <v>7</v>
      </c>
      <c r="F6" s="9" t="s">
        <v>8</v>
      </c>
    </row>
    <row r="7" spans="1:6" ht="15" customHeight="1" x14ac:dyDescent="0.2">
      <c r="A7" s="7" t="s">
        <v>9</v>
      </c>
      <c r="B7" s="8" t="s">
        <v>10</v>
      </c>
      <c r="F7" s="9" t="s">
        <v>11</v>
      </c>
    </row>
    <row r="8" spans="1:6" ht="15" customHeight="1" x14ac:dyDescent="0.2">
      <c r="A8" s="10" t="s">
        <v>12</v>
      </c>
      <c r="B8" s="8" t="s">
        <v>13</v>
      </c>
      <c r="F8" s="9" t="s">
        <v>14</v>
      </c>
    </row>
    <row r="9" spans="1:6" ht="15" customHeight="1" x14ac:dyDescent="0.2">
      <c r="A9" s="7" t="s">
        <v>15</v>
      </c>
      <c r="B9" s="8" t="s">
        <v>16</v>
      </c>
      <c r="F9" s="9" t="s">
        <v>17</v>
      </c>
    </row>
    <row r="10" spans="1:6" ht="15" customHeight="1" x14ac:dyDescent="0.2">
      <c r="A10" s="10" t="s">
        <v>18</v>
      </c>
      <c r="B10" s="8" t="s">
        <v>19</v>
      </c>
      <c r="F10" s="9" t="s">
        <v>20</v>
      </c>
    </row>
    <row r="11" spans="1:6" ht="15" customHeight="1" x14ac:dyDescent="0.2">
      <c r="A11" s="7" t="s">
        <v>21</v>
      </c>
      <c r="B11" s="8" t="s">
        <v>22</v>
      </c>
      <c r="F11" s="9" t="s">
        <v>23</v>
      </c>
    </row>
    <row r="12" spans="1:6" ht="15" customHeight="1" x14ac:dyDescent="0.2">
      <c r="A12" s="10" t="s">
        <v>24</v>
      </c>
      <c r="B12" s="8" t="s">
        <v>25</v>
      </c>
      <c r="F12" s="9" t="s">
        <v>26</v>
      </c>
    </row>
    <row r="13" spans="1:6" ht="15" customHeight="1" x14ac:dyDescent="0.2">
      <c r="A13" s="7" t="s">
        <v>27</v>
      </c>
      <c r="B13" s="8" t="s">
        <v>28</v>
      </c>
      <c r="F13" s="9" t="s">
        <v>29</v>
      </c>
    </row>
    <row r="14" spans="1:6" ht="15" customHeight="1" x14ac:dyDescent="0.2">
      <c r="A14" s="10" t="s">
        <v>30</v>
      </c>
      <c r="B14" s="8" t="s">
        <v>31</v>
      </c>
      <c r="F14" s="9" t="s">
        <v>32</v>
      </c>
    </row>
    <row r="15" spans="1:6" ht="15" customHeight="1" x14ac:dyDescent="0.2">
      <c r="A15" s="7" t="s">
        <v>33</v>
      </c>
      <c r="B15" s="8" t="s">
        <v>34</v>
      </c>
      <c r="F15" s="9" t="s">
        <v>35</v>
      </c>
    </row>
    <row r="16" spans="1:6" ht="15" customHeight="1" x14ac:dyDescent="0.2">
      <c r="A16" s="10" t="s">
        <v>36</v>
      </c>
      <c r="B16" s="8" t="s">
        <v>37</v>
      </c>
      <c r="F16" s="9" t="s">
        <v>38</v>
      </c>
    </row>
    <row r="17" spans="1:6" ht="15" customHeight="1" x14ac:dyDescent="0.2">
      <c r="A17" s="7" t="s">
        <v>39</v>
      </c>
      <c r="B17" s="8" t="s">
        <v>40</v>
      </c>
      <c r="F17" s="9" t="s">
        <v>41</v>
      </c>
    </row>
    <row r="18" spans="1:6" ht="15" customHeight="1" x14ac:dyDescent="0.2">
      <c r="A18" s="10" t="s">
        <v>42</v>
      </c>
      <c r="B18" s="8" t="s">
        <v>43</v>
      </c>
      <c r="F18" s="9" t="s">
        <v>44</v>
      </c>
    </row>
    <row r="20" spans="1:6" ht="15" customHeight="1" x14ac:dyDescent="0.2">
      <c r="A20" s="5" t="s">
        <v>45</v>
      </c>
      <c r="B20" s="6"/>
      <c r="C20" s="6"/>
      <c r="D20" s="6"/>
      <c r="E20" s="6"/>
    </row>
    <row r="21" spans="1:6" ht="15" customHeight="1" x14ac:dyDescent="0.2">
      <c r="B21" s="11" t="s">
        <v>46</v>
      </c>
      <c r="C21" s="12" t="s">
        <v>47</v>
      </c>
      <c r="D21" s="13" t="s">
        <v>48</v>
      </c>
      <c r="F21" s="9" t="s">
        <v>49</v>
      </c>
    </row>
    <row r="22" spans="1:6" ht="15" customHeight="1" x14ac:dyDescent="0.2">
      <c r="A22" s="10" t="s">
        <v>50</v>
      </c>
      <c r="B22" s="14">
        <f>'DCF Valuation'!B6</f>
        <v>0.01</v>
      </c>
      <c r="C22" s="14">
        <f>'DCF Valuation'!C6</f>
        <v>0.03</v>
      </c>
      <c r="D22" s="14">
        <f>'DCF Valuation'!D6</f>
        <v>0.05</v>
      </c>
    </row>
    <row r="23" spans="1:6" ht="15" customHeight="1" x14ac:dyDescent="0.2">
      <c r="A23" s="7" t="s">
        <v>51</v>
      </c>
      <c r="B23" s="15">
        <f>'DCF Valuation'!B7</f>
        <v>6.5000000000000002E-2</v>
      </c>
      <c r="C23" s="15">
        <f>'DCF Valuation'!C7</f>
        <v>5.5E-2</v>
      </c>
      <c r="D23" s="15">
        <f>'DCF Valuation'!D7</f>
        <v>0.05</v>
      </c>
    </row>
    <row r="24" spans="1:6" ht="15" customHeight="1" x14ac:dyDescent="0.2">
      <c r="A24" s="10" t="s">
        <v>52</v>
      </c>
      <c r="B24" s="16">
        <f>'DCF Valuation'!B43</f>
        <v>257.20574537113202</v>
      </c>
      <c r="C24" s="17">
        <f>'DCF Valuation'!C43</f>
        <v>406.04269739128307</v>
      </c>
      <c r="D24" s="18">
        <f>'DCF Valuation'!D43</f>
        <v>542.39435009612839</v>
      </c>
    </row>
    <row r="25" spans="1:6" ht="15" customHeight="1" x14ac:dyDescent="0.2">
      <c r="A25" s="7" t="s">
        <v>53</v>
      </c>
      <c r="B25" s="19">
        <f>'DCF Valuation'!B45</f>
        <v>-0.3370985944042989</v>
      </c>
      <c r="C25" s="19">
        <f>'DCF Valuation'!C45</f>
        <v>4.6501797400214095E-2</v>
      </c>
      <c r="D25" s="19">
        <f>'DCF Valuation'!D45</f>
        <v>0.39792358272198042</v>
      </c>
    </row>
    <row r="26" spans="1:6" ht="15" customHeight="1" x14ac:dyDescent="0.2">
      <c r="A26" s="10" t="s">
        <v>54</v>
      </c>
      <c r="B26" s="14">
        <f>'DCF Valuation'!B47</f>
        <v>-0.54637434678812691</v>
      </c>
      <c r="C26" s="14">
        <f>'DCF Valuation'!C47</f>
        <v>-0.28387531324288701</v>
      </c>
      <c r="D26" s="14">
        <f>'DCF Valuation'!D47</f>
        <v>-4.3396207943336172E-2</v>
      </c>
    </row>
    <row r="28" spans="1:6" ht="15" customHeight="1" x14ac:dyDescent="0.2">
      <c r="A28" s="5" t="s">
        <v>55</v>
      </c>
      <c r="B28" s="6"/>
      <c r="C28" s="6"/>
      <c r="D28" s="6"/>
      <c r="E28" s="6"/>
    </row>
    <row r="29" spans="1:6" ht="15" customHeight="1" x14ac:dyDescent="0.2">
      <c r="A29" s="2" t="s">
        <v>56</v>
      </c>
      <c r="B29" s="2"/>
      <c r="C29" s="2"/>
      <c r="D29" s="2"/>
      <c r="E29" s="2"/>
      <c r="F29" s="2"/>
    </row>
    <row r="30" spans="1:6" ht="15" customHeight="1" x14ac:dyDescent="0.2">
      <c r="A30" s="2" t="s">
        <v>57</v>
      </c>
      <c r="B30" s="2"/>
      <c r="C30" s="2"/>
      <c r="D30" s="2"/>
      <c r="E30" s="2"/>
      <c r="F30" s="2"/>
    </row>
    <row r="31" spans="1:6" ht="15" customHeight="1" x14ac:dyDescent="0.2">
      <c r="A31" s="2" t="s">
        <v>58</v>
      </c>
      <c r="B31" s="2"/>
      <c r="C31" s="2"/>
      <c r="D31" s="2"/>
      <c r="E31" s="2"/>
      <c r="F31" s="2"/>
    </row>
    <row r="32" spans="1:6" ht="15" customHeight="1" x14ac:dyDescent="0.2">
      <c r="A32" s="2" t="s">
        <v>59</v>
      </c>
      <c r="B32" s="2"/>
      <c r="C32" s="2"/>
      <c r="D32" s="2"/>
      <c r="E32" s="2"/>
      <c r="F32" s="2"/>
    </row>
    <row r="33" spans="1:6" ht="15" customHeight="1" x14ac:dyDescent="0.2">
      <c r="A33" s="2" t="s">
        <v>60</v>
      </c>
      <c r="B33" s="2"/>
      <c r="C33" s="2"/>
      <c r="D33" s="2"/>
      <c r="E33" s="2"/>
      <c r="F33" s="2"/>
    </row>
    <row r="34" spans="1:6" ht="15" customHeight="1" x14ac:dyDescent="0.2">
      <c r="A34" s="2" t="s">
        <v>61</v>
      </c>
      <c r="B34" s="2"/>
      <c r="C34" s="2"/>
      <c r="D34" s="2"/>
      <c r="E34" s="2"/>
      <c r="F34" s="2"/>
    </row>
  </sheetData>
  <mergeCells count="8">
    <mergeCell ref="A32:F32"/>
    <mergeCell ref="A33:F33"/>
    <mergeCell ref="A34:F34"/>
    <mergeCell ref="A1:F1"/>
    <mergeCell ref="A2:F2"/>
    <mergeCell ref="A29:F29"/>
    <mergeCell ref="A30:F30"/>
    <mergeCell ref="A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F21"/>
  <sheetViews>
    <sheetView zoomScaleNormal="100" workbookViewId="0">
      <pane ySplit="2" topLeftCell="A3" activePane="bottomLeft" state="frozen"/>
      <selection pane="bottomLeft" sqref="A1:E1"/>
    </sheetView>
  </sheetViews>
  <sheetFormatPr baseColWidth="10" defaultColWidth="8.6640625" defaultRowHeight="15" x14ac:dyDescent="0.2"/>
  <cols>
    <col min="1" max="1" width="38" customWidth="1"/>
    <col min="2" max="4" width="15" customWidth="1"/>
    <col min="5" max="5" width="42" customWidth="1"/>
  </cols>
  <sheetData>
    <row r="1" spans="1:6" ht="19.5" customHeight="1" x14ac:dyDescent="0.2">
      <c r="A1" s="1" t="s">
        <v>62</v>
      </c>
      <c r="B1" s="1"/>
      <c r="C1" s="1"/>
      <c r="D1" s="1"/>
      <c r="E1" s="1"/>
    </row>
    <row r="3" spans="1:6" ht="15" customHeight="1" x14ac:dyDescent="0.2">
      <c r="A3" s="5" t="s">
        <v>63</v>
      </c>
      <c r="B3" s="6"/>
      <c r="C3" s="6"/>
      <c r="D3" s="6"/>
      <c r="E3" s="6"/>
    </row>
    <row r="4" spans="1:6" ht="15" customHeight="1" x14ac:dyDescent="0.2">
      <c r="B4" s="11" t="s">
        <v>46</v>
      </c>
      <c r="C4" s="12" t="s">
        <v>47</v>
      </c>
      <c r="D4" s="13" t="s">
        <v>48</v>
      </c>
      <c r="F4" s="9" t="s">
        <v>64</v>
      </c>
    </row>
    <row r="5" spans="1:6" ht="15" customHeight="1" x14ac:dyDescent="0.2">
      <c r="A5" s="20" t="s">
        <v>65</v>
      </c>
    </row>
    <row r="6" spans="1:6" ht="15" customHeight="1" x14ac:dyDescent="0.2">
      <c r="A6" s="10" t="s">
        <v>66</v>
      </c>
      <c r="B6" s="21">
        <v>279</v>
      </c>
      <c r="C6" s="21">
        <v>279</v>
      </c>
      <c r="D6" s="21">
        <v>279</v>
      </c>
      <c r="F6" s="9" t="s">
        <v>67</v>
      </c>
    </row>
    <row r="7" spans="1:6" ht="15" customHeight="1" x14ac:dyDescent="0.2">
      <c r="A7" s="7" t="s">
        <v>68</v>
      </c>
      <c r="B7" s="22">
        <v>965</v>
      </c>
      <c r="C7" s="22">
        <v>965</v>
      </c>
      <c r="D7" s="22">
        <v>965</v>
      </c>
      <c r="F7" s="9" t="s">
        <v>69</v>
      </c>
    </row>
    <row r="9" spans="1:6" ht="15" customHeight="1" x14ac:dyDescent="0.2">
      <c r="A9" s="20" t="s">
        <v>70</v>
      </c>
    </row>
    <row r="10" spans="1:6" ht="15" customHeight="1" x14ac:dyDescent="0.2">
      <c r="A10" s="10" t="s">
        <v>71</v>
      </c>
      <c r="B10" s="23">
        <v>0.01</v>
      </c>
      <c r="C10" s="23">
        <v>0.03</v>
      </c>
      <c r="D10" s="23">
        <v>0.05</v>
      </c>
      <c r="F10" s="9" t="s">
        <v>72</v>
      </c>
    </row>
    <row r="11" spans="1:6" ht="15" customHeight="1" x14ac:dyDescent="0.2">
      <c r="A11" s="7" t="s">
        <v>73</v>
      </c>
      <c r="B11" s="24">
        <v>14</v>
      </c>
      <c r="C11" s="24">
        <v>17</v>
      </c>
      <c r="D11" s="24">
        <v>20</v>
      </c>
      <c r="F11" s="9" t="s">
        <v>74</v>
      </c>
    </row>
    <row r="12" spans="1:6" ht="15" customHeight="1" x14ac:dyDescent="0.2">
      <c r="A12" s="10" t="s">
        <v>75</v>
      </c>
      <c r="B12" s="23">
        <v>0.1</v>
      </c>
      <c r="C12" s="23">
        <v>0.1</v>
      </c>
      <c r="D12" s="23">
        <v>0.1</v>
      </c>
      <c r="F12" s="9" t="s">
        <v>76</v>
      </c>
    </row>
    <row r="14" spans="1:6" ht="15" customHeight="1" x14ac:dyDescent="0.2">
      <c r="A14" s="20" t="s">
        <v>77</v>
      </c>
    </row>
    <row r="15" spans="1:6" ht="15" customHeight="1" x14ac:dyDescent="0.2">
      <c r="A15" s="10" t="s">
        <v>78</v>
      </c>
      <c r="B15" s="25">
        <v>3637</v>
      </c>
      <c r="C15" s="25">
        <v>3637</v>
      </c>
      <c r="D15" s="25">
        <v>3637</v>
      </c>
      <c r="F15" s="9" t="s">
        <v>79</v>
      </c>
    </row>
    <row r="16" spans="1:6" ht="15" customHeight="1" x14ac:dyDescent="0.2">
      <c r="A16" s="7" t="s">
        <v>80</v>
      </c>
      <c r="B16" s="26">
        <v>567</v>
      </c>
      <c r="C16" s="26">
        <v>567</v>
      </c>
      <c r="D16" s="26">
        <v>567</v>
      </c>
      <c r="F16" s="9" t="s">
        <v>8</v>
      </c>
    </row>
    <row r="17" spans="1:6" ht="15" customHeight="1" x14ac:dyDescent="0.2">
      <c r="A17" s="10" t="s">
        <v>81</v>
      </c>
      <c r="B17" s="25">
        <v>388</v>
      </c>
      <c r="C17" s="25">
        <v>388</v>
      </c>
      <c r="D17" s="25">
        <v>388</v>
      </c>
      <c r="F17" s="9" t="s">
        <v>11</v>
      </c>
    </row>
    <row r="19" spans="1:6" ht="15" customHeight="1" x14ac:dyDescent="0.2">
      <c r="A19" s="20" t="s">
        <v>82</v>
      </c>
    </row>
    <row r="20" spans="1:6" ht="15" customHeight="1" x14ac:dyDescent="0.2">
      <c r="A20" s="10" t="s">
        <v>83</v>
      </c>
      <c r="B20" s="25">
        <v>9489</v>
      </c>
      <c r="C20" s="25">
        <v>9489</v>
      </c>
      <c r="D20" s="25">
        <v>9489</v>
      </c>
      <c r="F20" s="9" t="s">
        <v>84</v>
      </c>
    </row>
    <row r="21" spans="1:6" ht="15" customHeight="1" x14ac:dyDescent="0.2">
      <c r="A21" s="7" t="s">
        <v>85</v>
      </c>
      <c r="B21" s="26">
        <v>-218</v>
      </c>
      <c r="C21" s="26">
        <v>-218</v>
      </c>
      <c r="D21" s="26">
        <v>-218</v>
      </c>
      <c r="F21" s="9" t="s">
        <v>86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G29"/>
  <sheetViews>
    <sheetView zoomScaleNormal="100" workbookViewId="0">
      <pane ySplit="2" topLeftCell="A3" activePane="bottomLeft" state="frozen"/>
      <selection pane="bottomLeft" activeCell="G18" sqref="G18"/>
    </sheetView>
  </sheetViews>
  <sheetFormatPr baseColWidth="10" defaultColWidth="8.6640625" defaultRowHeight="15" x14ac:dyDescent="0.2"/>
  <cols>
    <col min="1" max="1" width="32" customWidth="1"/>
    <col min="2" max="5" width="14" customWidth="1"/>
    <col min="6" max="6" width="51.1640625" bestFit="1" customWidth="1"/>
    <col min="7" max="7" width="45" bestFit="1" customWidth="1"/>
  </cols>
  <sheetData>
    <row r="1" spans="1:7" ht="19.5" customHeight="1" x14ac:dyDescent="0.2">
      <c r="A1" s="1" t="s">
        <v>87</v>
      </c>
      <c r="B1" s="1"/>
      <c r="C1" s="1"/>
      <c r="D1" s="1"/>
      <c r="E1" s="1"/>
      <c r="F1" s="1"/>
      <c r="G1" s="1"/>
    </row>
    <row r="3" spans="1:7" ht="15" customHeight="1" x14ac:dyDescent="0.2">
      <c r="A3" s="5" t="s">
        <v>88</v>
      </c>
      <c r="B3" s="6"/>
      <c r="C3" s="6"/>
      <c r="D3" s="6"/>
      <c r="E3" s="6"/>
    </row>
    <row r="4" spans="1:7" ht="15" customHeight="1" x14ac:dyDescent="0.2">
      <c r="A4" s="12" t="s">
        <v>89</v>
      </c>
      <c r="B4" s="12" t="s">
        <v>90</v>
      </c>
      <c r="C4" s="12" t="s">
        <v>91</v>
      </c>
      <c r="D4" s="12" t="s">
        <v>92</v>
      </c>
      <c r="E4" s="12" t="s">
        <v>93</v>
      </c>
      <c r="F4" s="12" t="s">
        <v>94</v>
      </c>
      <c r="G4" s="12" t="s">
        <v>95</v>
      </c>
    </row>
    <row r="5" spans="1:7" ht="15" customHeight="1" x14ac:dyDescent="0.2">
      <c r="A5" s="10" t="s">
        <v>96</v>
      </c>
      <c r="B5" s="27">
        <v>5501</v>
      </c>
      <c r="C5" s="14">
        <v>0.57972389082095099</v>
      </c>
      <c r="D5" s="14">
        <v>0.96499999999999997</v>
      </c>
      <c r="E5" s="14">
        <v>4.2999999999999997E-2</v>
      </c>
      <c r="F5" s="14">
        <v>0.02</v>
      </c>
      <c r="G5" s="28" t="s">
        <v>97</v>
      </c>
    </row>
    <row r="6" spans="1:7" ht="15" customHeight="1" x14ac:dyDescent="0.2">
      <c r="A6" s="7" t="s">
        <v>98</v>
      </c>
      <c r="B6" s="29">
        <v>2800</v>
      </c>
      <c r="C6" s="19">
        <v>0.29507851196121798</v>
      </c>
      <c r="D6" s="19">
        <v>0.99</v>
      </c>
      <c r="E6" s="19">
        <v>0.06</v>
      </c>
      <c r="F6" s="19">
        <v>0.05</v>
      </c>
      <c r="G6" s="9" t="s">
        <v>99</v>
      </c>
    </row>
    <row r="7" spans="1:7" ht="15" customHeight="1" x14ac:dyDescent="0.2">
      <c r="A7" s="10" t="s">
        <v>100</v>
      </c>
      <c r="B7" s="27">
        <v>540</v>
      </c>
      <c r="C7" s="14">
        <v>5.6907998735377802E-2</v>
      </c>
      <c r="D7" s="14">
        <v>0.98</v>
      </c>
      <c r="E7" s="14">
        <v>2.1000000000000001E-2</v>
      </c>
      <c r="F7" s="14">
        <v>0.04</v>
      </c>
      <c r="G7" s="28" t="s">
        <v>101</v>
      </c>
    </row>
    <row r="8" spans="1:7" ht="15" customHeight="1" x14ac:dyDescent="0.2">
      <c r="A8" s="7" t="s">
        <v>102</v>
      </c>
      <c r="B8" s="29">
        <v>145</v>
      </c>
      <c r="C8" s="19">
        <v>1.5280851512277401E-2</v>
      </c>
      <c r="E8" s="19">
        <v>-4.9000000000000002E-2</v>
      </c>
      <c r="G8" s="9" t="s">
        <v>103</v>
      </c>
    </row>
    <row r="9" spans="1:7" ht="15" customHeight="1" x14ac:dyDescent="0.2">
      <c r="A9" s="10" t="s">
        <v>104</v>
      </c>
      <c r="B9" s="27">
        <v>503</v>
      </c>
      <c r="C9" s="14">
        <v>5.3008746970175998E-2</v>
      </c>
      <c r="G9" s="28" t="s">
        <v>105</v>
      </c>
    </row>
    <row r="10" spans="1:7" ht="15" customHeight="1" x14ac:dyDescent="0.2">
      <c r="A10" s="30" t="s">
        <v>106</v>
      </c>
      <c r="B10" s="31">
        <v>9489</v>
      </c>
      <c r="C10" s="32">
        <v>1</v>
      </c>
    </row>
    <row r="12" spans="1:7" ht="15" customHeight="1" x14ac:dyDescent="0.2">
      <c r="A12" s="5" t="s">
        <v>107</v>
      </c>
      <c r="B12" s="6"/>
      <c r="C12" s="6"/>
      <c r="D12" s="6"/>
      <c r="E12" s="6"/>
    </row>
    <row r="13" spans="1:7" ht="15" customHeight="1" x14ac:dyDescent="0.2">
      <c r="A13" s="12" t="s">
        <v>108</v>
      </c>
      <c r="B13" s="12" t="s">
        <v>109</v>
      </c>
      <c r="C13" s="12" t="s">
        <v>90</v>
      </c>
      <c r="D13" s="12" t="s">
        <v>92</v>
      </c>
      <c r="E13" s="12" t="s">
        <v>110</v>
      </c>
      <c r="F13" s="12" t="s">
        <v>111</v>
      </c>
    </row>
    <row r="14" spans="1:7" ht="15" customHeight="1" x14ac:dyDescent="0.2">
      <c r="A14" s="10" t="s">
        <v>112</v>
      </c>
      <c r="B14" s="33" t="s">
        <v>113</v>
      </c>
      <c r="C14" s="27">
        <v>2400</v>
      </c>
      <c r="D14" s="14">
        <v>0.97</v>
      </c>
      <c r="E14" s="14">
        <v>7.2999999999999995E-2</v>
      </c>
      <c r="F14" s="28" t="s">
        <v>114</v>
      </c>
    </row>
    <row r="15" spans="1:7" ht="15" customHeight="1" x14ac:dyDescent="0.2">
      <c r="A15" s="7" t="s">
        <v>115</v>
      </c>
      <c r="B15" s="34" t="s">
        <v>116</v>
      </c>
      <c r="C15" s="29">
        <v>1500</v>
      </c>
      <c r="D15" s="19">
        <v>0.97</v>
      </c>
      <c r="E15" s="19">
        <v>3.1E-2</v>
      </c>
      <c r="F15" s="9" t="s">
        <v>117</v>
      </c>
    </row>
    <row r="16" spans="1:7" ht="15" customHeight="1" x14ac:dyDescent="0.2">
      <c r="A16" s="10" t="s">
        <v>118</v>
      </c>
      <c r="B16" s="33" t="s">
        <v>119</v>
      </c>
      <c r="C16" s="27">
        <v>850</v>
      </c>
      <c r="D16" s="14">
        <v>0.97</v>
      </c>
      <c r="E16" s="14">
        <v>3.1E-2</v>
      </c>
      <c r="F16" s="28" t="s">
        <v>120</v>
      </c>
    </row>
    <row r="17" spans="1:6" ht="15" customHeight="1" x14ac:dyDescent="0.2">
      <c r="A17" s="7" t="s">
        <v>121</v>
      </c>
      <c r="B17" s="34" t="s">
        <v>122</v>
      </c>
      <c r="C17" s="29">
        <v>500</v>
      </c>
      <c r="F17" s="9" t="s">
        <v>123</v>
      </c>
    </row>
    <row r="18" spans="1:6" ht="15" customHeight="1" x14ac:dyDescent="0.2">
      <c r="A18" s="10" t="s">
        <v>124</v>
      </c>
      <c r="B18" s="33" t="s">
        <v>125</v>
      </c>
      <c r="C18" s="27">
        <v>251</v>
      </c>
      <c r="F18" s="28" t="s">
        <v>126</v>
      </c>
    </row>
    <row r="20" spans="1:6" ht="15" customHeight="1" x14ac:dyDescent="0.2">
      <c r="A20" s="5" t="s">
        <v>127</v>
      </c>
      <c r="B20" s="6"/>
      <c r="C20" s="6"/>
      <c r="D20" s="6"/>
      <c r="E20" s="6"/>
    </row>
    <row r="21" spans="1:6" ht="15" customHeight="1" x14ac:dyDescent="0.2">
      <c r="A21" s="12" t="s">
        <v>128</v>
      </c>
      <c r="B21" s="12" t="s">
        <v>129</v>
      </c>
      <c r="C21" s="12" t="s">
        <v>130</v>
      </c>
      <c r="D21" s="12" t="s">
        <v>131</v>
      </c>
      <c r="E21" s="12" t="s">
        <v>132</v>
      </c>
    </row>
    <row r="22" spans="1:6" ht="15" customHeight="1" x14ac:dyDescent="0.2">
      <c r="A22" s="10" t="s">
        <v>133</v>
      </c>
      <c r="B22" s="27">
        <v>10647</v>
      </c>
      <c r="C22" s="27">
        <v>8895</v>
      </c>
      <c r="D22" s="27">
        <v>8685</v>
      </c>
      <c r="E22" s="27">
        <v>9489</v>
      </c>
    </row>
    <row r="23" spans="1:6" ht="15" customHeight="1" x14ac:dyDescent="0.2">
      <c r="A23" s="7" t="s">
        <v>134</v>
      </c>
      <c r="B23" s="19">
        <v>0.96499999999999997</v>
      </c>
      <c r="C23" s="19">
        <v>0.96699999999999997</v>
      </c>
      <c r="D23" s="19">
        <v>0.97199999999999998</v>
      </c>
      <c r="E23" s="19">
        <v>0.97699999999999998</v>
      </c>
    </row>
    <row r="24" spans="1:6" ht="15" customHeight="1" x14ac:dyDescent="0.2">
      <c r="A24" s="10" t="s">
        <v>135</v>
      </c>
      <c r="B24" s="35">
        <v>5.8</v>
      </c>
      <c r="C24" s="35">
        <v>5.7</v>
      </c>
      <c r="D24" s="35">
        <v>5.2</v>
      </c>
      <c r="E24" s="35">
        <v>5.3</v>
      </c>
    </row>
    <row r="25" spans="1:6" ht="15" customHeight="1" x14ac:dyDescent="0.2">
      <c r="A25" s="7" t="s">
        <v>136</v>
      </c>
      <c r="B25" s="19">
        <v>-4.1999999999999997E-3</v>
      </c>
      <c r="C25" s="19">
        <v>7.1000000000000004E-3</v>
      </c>
      <c r="D25" s="19">
        <v>0.02</v>
      </c>
      <c r="E25" s="19">
        <v>6.9000000000000006E-2</v>
      </c>
    </row>
    <row r="26" spans="1:6" ht="15" customHeight="1" x14ac:dyDescent="0.2">
      <c r="A26" s="10" t="s">
        <v>137</v>
      </c>
      <c r="D26" s="27">
        <v>440</v>
      </c>
      <c r="E26" s="27">
        <v>439</v>
      </c>
    </row>
    <row r="27" spans="1:6" ht="15" customHeight="1" x14ac:dyDescent="0.2">
      <c r="A27" s="7" t="s">
        <v>138</v>
      </c>
      <c r="D27" s="29">
        <v>28.5</v>
      </c>
      <c r="E27" s="29">
        <v>28.5</v>
      </c>
    </row>
    <row r="28" spans="1:6" ht="15" customHeight="1" x14ac:dyDescent="0.2">
      <c r="A28" s="10" t="s">
        <v>6</v>
      </c>
      <c r="D28" s="27">
        <v>562</v>
      </c>
      <c r="E28" s="27">
        <v>567</v>
      </c>
    </row>
    <row r="29" spans="1:6" ht="15" customHeight="1" x14ac:dyDescent="0.2">
      <c r="A29" s="7" t="s">
        <v>139</v>
      </c>
      <c r="D29" s="19">
        <v>0.373</v>
      </c>
      <c r="E29" s="19">
        <v>0.38100000000000001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F60"/>
  <sheetViews>
    <sheetView zoomScale="88" zoomScaleNormal="10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F56" sqref="F56"/>
    </sheetView>
  </sheetViews>
  <sheetFormatPr baseColWidth="10" defaultColWidth="8.6640625" defaultRowHeight="15" x14ac:dyDescent="0.2"/>
  <cols>
    <col min="1" max="1" width="40" customWidth="1"/>
    <col min="2" max="5" width="12" customWidth="1"/>
    <col min="6" max="6" width="13.1640625" customWidth="1"/>
  </cols>
  <sheetData>
    <row r="1" spans="1:6" ht="19.5" customHeight="1" x14ac:dyDescent="0.2">
      <c r="A1" s="1" t="s">
        <v>140</v>
      </c>
      <c r="B1" s="1"/>
      <c r="C1" s="1"/>
      <c r="D1" s="1"/>
      <c r="E1" s="1"/>
      <c r="F1" s="1"/>
    </row>
    <row r="3" spans="1:6" x14ac:dyDescent="0.2">
      <c r="B3" s="11" t="s">
        <v>46</v>
      </c>
      <c r="C3" s="12" t="s">
        <v>47</v>
      </c>
      <c r="D3" s="13" t="s">
        <v>48</v>
      </c>
      <c r="F3" s="9" t="s">
        <v>141</v>
      </c>
    </row>
    <row r="4" spans="1:6" x14ac:dyDescent="0.2">
      <c r="A4" s="5" t="s">
        <v>142</v>
      </c>
      <c r="B4" s="6"/>
      <c r="C4" s="6"/>
      <c r="D4" s="6"/>
      <c r="E4" s="6"/>
    </row>
    <row r="5" spans="1:6" x14ac:dyDescent="0.2">
      <c r="A5" s="10" t="s">
        <v>143</v>
      </c>
      <c r="B5" s="25">
        <v>439</v>
      </c>
      <c r="C5" s="25">
        <v>439</v>
      </c>
      <c r="D5" s="25">
        <v>439</v>
      </c>
      <c r="F5" s="9" t="s">
        <v>144</v>
      </c>
    </row>
    <row r="6" spans="1:6" x14ac:dyDescent="0.2">
      <c r="A6" s="7" t="s">
        <v>145</v>
      </c>
      <c r="B6" s="36">
        <v>0.01</v>
      </c>
      <c r="C6" s="36">
        <v>0.03</v>
      </c>
      <c r="D6" s="36">
        <v>0.05</v>
      </c>
      <c r="F6" s="9" t="s">
        <v>146</v>
      </c>
    </row>
    <row r="7" spans="1:6" x14ac:dyDescent="0.2">
      <c r="A7" s="10" t="s">
        <v>147</v>
      </c>
      <c r="B7" s="23">
        <v>6.5000000000000002E-2</v>
      </c>
      <c r="C7" s="23">
        <v>5.5E-2</v>
      </c>
      <c r="D7" s="23">
        <v>0.05</v>
      </c>
      <c r="F7" s="9" t="s">
        <v>148</v>
      </c>
    </row>
    <row r="8" spans="1:6" x14ac:dyDescent="0.2">
      <c r="A8" s="7" t="s">
        <v>149</v>
      </c>
      <c r="B8" s="36">
        <v>0.1</v>
      </c>
      <c r="C8" s="36">
        <v>0.1</v>
      </c>
      <c r="D8" s="36">
        <v>0.1</v>
      </c>
      <c r="F8" s="9" t="s">
        <v>76</v>
      </c>
    </row>
    <row r="9" spans="1:6" x14ac:dyDescent="0.2">
      <c r="A9" s="10" t="s">
        <v>150</v>
      </c>
      <c r="B9" s="25">
        <v>3637</v>
      </c>
      <c r="C9" s="25">
        <v>3637</v>
      </c>
      <c r="D9" s="25">
        <v>3637</v>
      </c>
      <c r="F9" s="9" t="s">
        <v>151</v>
      </c>
    </row>
    <row r="10" spans="1:6" x14ac:dyDescent="0.2">
      <c r="A10" s="7" t="s">
        <v>152</v>
      </c>
      <c r="B10" s="26">
        <v>965</v>
      </c>
      <c r="C10" s="26">
        <v>965</v>
      </c>
      <c r="D10" s="26">
        <v>965</v>
      </c>
      <c r="F10" s="9" t="s">
        <v>153</v>
      </c>
    </row>
    <row r="11" spans="1:6" x14ac:dyDescent="0.2">
      <c r="A11" s="10" t="s">
        <v>154</v>
      </c>
      <c r="B11" s="25">
        <v>388</v>
      </c>
      <c r="C11" s="25">
        <v>388</v>
      </c>
      <c r="D11" s="25">
        <v>388</v>
      </c>
      <c r="F11" s="9" t="s">
        <v>11</v>
      </c>
    </row>
    <row r="12" spans="1:6" x14ac:dyDescent="0.2">
      <c r="A12" s="7" t="s">
        <v>155</v>
      </c>
      <c r="B12" s="26">
        <v>567</v>
      </c>
      <c r="C12" s="26">
        <v>567</v>
      </c>
      <c r="D12" s="26">
        <v>567</v>
      </c>
      <c r="F12" s="9" t="s">
        <v>8</v>
      </c>
    </row>
    <row r="14" spans="1:6" x14ac:dyDescent="0.2">
      <c r="A14" s="5" t="s">
        <v>156</v>
      </c>
      <c r="B14" s="6"/>
      <c r="C14" s="6"/>
      <c r="D14" s="6"/>
      <c r="E14" s="6"/>
    </row>
    <row r="15" spans="1:6" x14ac:dyDescent="0.2">
      <c r="B15" s="37" t="s">
        <v>157</v>
      </c>
      <c r="C15" s="37" t="s">
        <v>157</v>
      </c>
      <c r="D15" s="37" t="s">
        <v>157</v>
      </c>
    </row>
    <row r="16" spans="1:6" x14ac:dyDescent="0.2">
      <c r="A16" s="7" t="s">
        <v>158</v>
      </c>
      <c r="B16" s="29">
        <f>B5*(1+B6)</f>
        <v>443.39</v>
      </c>
      <c r="C16" s="29">
        <f>C5*(1+C6)</f>
        <v>452.17</v>
      </c>
      <c r="D16" s="29">
        <f>D5*(1+D6)</f>
        <v>460.95000000000005</v>
      </c>
    </row>
    <row r="17" spans="1:6" x14ac:dyDescent="0.2">
      <c r="A17" s="10" t="s">
        <v>159</v>
      </c>
      <c r="B17" s="27">
        <f>B16*(1+B6)</f>
        <v>447.82389999999998</v>
      </c>
      <c r="C17" s="27">
        <f>C16*(1+C6)</f>
        <v>465.73510000000005</v>
      </c>
      <c r="D17" s="27">
        <f>D16*(1+D6)</f>
        <v>483.99750000000006</v>
      </c>
    </row>
    <row r="18" spans="1:6" x14ac:dyDescent="0.2">
      <c r="A18" s="7" t="s">
        <v>160</v>
      </c>
      <c r="B18" s="29">
        <f>B17*(1+B6)</f>
        <v>452.30213900000001</v>
      </c>
      <c r="C18" s="29">
        <f>C17*(1+C6)</f>
        <v>479.70715300000006</v>
      </c>
      <c r="D18" s="29">
        <f>D17*(1+D6)</f>
        <v>508.19737500000008</v>
      </c>
    </row>
    <row r="19" spans="1:6" x14ac:dyDescent="0.2">
      <c r="A19" s="10" t="s">
        <v>161</v>
      </c>
      <c r="B19" s="27">
        <f>B18*(1+B6)</f>
        <v>456.82516039000001</v>
      </c>
      <c r="C19" s="27">
        <f>C18*(1+C6)</f>
        <v>494.09836759000007</v>
      </c>
      <c r="D19" s="27">
        <f>D18*(1+D6)</f>
        <v>533.60724375000007</v>
      </c>
    </row>
    <row r="20" spans="1:6" x14ac:dyDescent="0.2">
      <c r="A20" s="7" t="s">
        <v>162</v>
      </c>
      <c r="B20" s="29">
        <f>B19*(1+B6)</f>
        <v>461.39341199390003</v>
      </c>
      <c r="C20" s="29">
        <f>C19*(1+C6)</f>
        <v>508.92131861770008</v>
      </c>
      <c r="D20" s="29">
        <f>D19*(1+D6)</f>
        <v>560.28760593750008</v>
      </c>
    </row>
    <row r="22" spans="1:6" x14ac:dyDescent="0.2">
      <c r="A22" s="5" t="s">
        <v>163</v>
      </c>
      <c r="B22" s="6"/>
      <c r="C22" s="6"/>
      <c r="D22" s="6"/>
      <c r="E22" s="6"/>
    </row>
    <row r="23" spans="1:6" x14ac:dyDescent="0.2">
      <c r="B23" s="37" t="s">
        <v>164</v>
      </c>
      <c r="C23" s="37" t="s">
        <v>164</v>
      </c>
      <c r="D23" s="37" t="s">
        <v>164</v>
      </c>
    </row>
    <row r="24" spans="1:6" x14ac:dyDescent="0.2">
      <c r="A24" s="7" t="s">
        <v>165</v>
      </c>
      <c r="B24" s="38">
        <f>B16/(1+B8)^1</f>
        <v>403.08181818181816</v>
      </c>
      <c r="C24" s="38">
        <f>C16/(1+C8)^1</f>
        <v>411.06363636363636</v>
      </c>
      <c r="D24" s="38">
        <f>D16/(1+D8)^1</f>
        <v>419.04545454545456</v>
      </c>
    </row>
    <row r="25" spans="1:6" x14ac:dyDescent="0.2">
      <c r="A25" s="10" t="s">
        <v>166</v>
      </c>
      <c r="B25" s="39">
        <f>B17/(1+B8)^2</f>
        <v>370.1023966942148</v>
      </c>
      <c r="C25" s="39">
        <f>C17/(1+C8)^2</f>
        <v>384.90504132231405</v>
      </c>
      <c r="D25" s="39">
        <f>D17/(1+D8)^2</f>
        <v>399.99793388429748</v>
      </c>
    </row>
    <row r="26" spans="1:6" x14ac:dyDescent="0.2">
      <c r="A26" s="7" t="s">
        <v>167</v>
      </c>
      <c r="B26" s="38">
        <f>B18/(1+B8)^3</f>
        <v>339.82129151014266</v>
      </c>
      <c r="C26" s="38">
        <f>C18/(1+C8)^3</f>
        <v>360.41108414725761</v>
      </c>
      <c r="D26" s="38">
        <f>D18/(1+D8)^3</f>
        <v>381.81620961682938</v>
      </c>
    </row>
    <row r="27" spans="1:6" x14ac:dyDescent="0.2">
      <c r="A27" s="10" t="s">
        <v>168</v>
      </c>
      <c r="B27" s="39">
        <f>B19/(1+B8)^4</f>
        <v>312.01773129567647</v>
      </c>
      <c r="C27" s="39">
        <f>C19/(1+C8)^4</f>
        <v>337.47583333788668</v>
      </c>
      <c r="D27" s="39">
        <f>D19/(1+D8)^4</f>
        <v>364.46092736151894</v>
      </c>
    </row>
    <row r="28" spans="1:6" x14ac:dyDescent="0.2">
      <c r="A28" s="7" t="s">
        <v>169</v>
      </c>
      <c r="B28" s="38">
        <f>B20/(1+B8)^5</f>
        <v>286.48900782603016</v>
      </c>
      <c r="C28" s="38">
        <f>C20/(1+C8)^5</f>
        <v>316.00009848911208</v>
      </c>
      <c r="D28" s="38">
        <f>D20/(1+D8)^5</f>
        <v>347.894521572359</v>
      </c>
    </row>
    <row r="29" spans="1:6" x14ac:dyDescent="0.2">
      <c r="A29" s="30" t="s">
        <v>170</v>
      </c>
      <c r="B29" s="40">
        <f>SUM(B24:B28)</f>
        <v>1711.5122455078822</v>
      </c>
      <c r="C29" s="40">
        <f>SUM(C24:C28)</f>
        <v>1809.8556936602067</v>
      </c>
      <c r="D29" s="40">
        <f>SUM(D24:D28)</f>
        <v>1913.2150469804594</v>
      </c>
      <c r="F29" s="9" t="s">
        <v>171</v>
      </c>
    </row>
    <row r="31" spans="1:6" x14ac:dyDescent="0.2">
      <c r="A31" s="5" t="s">
        <v>172</v>
      </c>
      <c r="B31" s="6"/>
      <c r="C31" s="6"/>
      <c r="D31" s="6"/>
      <c r="E31" s="6"/>
    </row>
    <row r="32" spans="1:6" x14ac:dyDescent="0.2">
      <c r="A32" s="10" t="s">
        <v>173</v>
      </c>
      <c r="B32" s="27">
        <f>B20</f>
        <v>461.39341199390003</v>
      </c>
      <c r="C32" s="27">
        <f>C20</f>
        <v>508.92131861770008</v>
      </c>
      <c r="D32" s="27">
        <f>D20</f>
        <v>560.28760593750008</v>
      </c>
    </row>
    <row r="33" spans="1:6" x14ac:dyDescent="0.2">
      <c r="A33" s="7" t="s">
        <v>174</v>
      </c>
      <c r="B33" s="29">
        <f>B32/B7</f>
        <v>7098.3601845215389</v>
      </c>
      <c r="C33" s="29">
        <f>C32/C7</f>
        <v>9253.1148839581838</v>
      </c>
      <c r="D33" s="29">
        <f>D32/D7</f>
        <v>11205.752118750001</v>
      </c>
      <c r="F33" s="9" t="s">
        <v>175</v>
      </c>
    </row>
    <row r="34" spans="1:6" x14ac:dyDescent="0.2">
      <c r="A34" s="10" t="s">
        <v>176</v>
      </c>
      <c r="B34" s="27">
        <f>B33/(1+B8)^5</f>
        <v>4407.5231973235414</v>
      </c>
      <c r="C34" s="27">
        <f>C33/(1+C8)^5</f>
        <v>5745.4563361656747</v>
      </c>
      <c r="D34" s="27">
        <f>D33/(1+D8)^5</f>
        <v>6957.8904314471793</v>
      </c>
    </row>
    <row r="36" spans="1:6" x14ac:dyDescent="0.2">
      <c r="A36" s="5" t="s">
        <v>177</v>
      </c>
      <c r="B36" s="6"/>
      <c r="C36" s="6"/>
      <c r="D36" s="6"/>
      <c r="E36" s="6"/>
    </row>
    <row r="37" spans="1:6" x14ac:dyDescent="0.2">
      <c r="A37" s="10" t="s">
        <v>170</v>
      </c>
      <c r="B37" s="39">
        <f>B29</f>
        <v>1711.5122455078822</v>
      </c>
      <c r="C37" s="39">
        <f>C29</f>
        <v>1809.8556936602067</v>
      </c>
      <c r="D37" s="39">
        <f>D29</f>
        <v>1913.2150469804594</v>
      </c>
    </row>
    <row r="38" spans="1:6" x14ac:dyDescent="0.2">
      <c r="A38" s="7" t="s">
        <v>178</v>
      </c>
      <c r="B38" s="29">
        <f>B34</f>
        <v>4407.5231973235414</v>
      </c>
      <c r="C38" s="29">
        <f>C34</f>
        <v>5745.4563361656747</v>
      </c>
      <c r="D38" s="29">
        <f>D34</f>
        <v>6957.8904314471793</v>
      </c>
    </row>
    <row r="39" spans="1:6" x14ac:dyDescent="0.2">
      <c r="A39" s="41" t="s">
        <v>179</v>
      </c>
      <c r="B39" s="42">
        <f>B37+B38</f>
        <v>6119.035442831424</v>
      </c>
      <c r="C39" s="42">
        <f>C37+C38</f>
        <v>7555.3120298258818</v>
      </c>
      <c r="D39" s="42">
        <f>D37+D38</f>
        <v>8871.1054784276384</v>
      </c>
      <c r="F39" s="9" t="s">
        <v>180</v>
      </c>
    </row>
    <row r="40" spans="1:6" x14ac:dyDescent="0.2">
      <c r="A40" s="7" t="s">
        <v>181</v>
      </c>
      <c r="B40" s="29">
        <f>-B9</f>
        <v>-3637</v>
      </c>
      <c r="C40" s="29">
        <f>-C9</f>
        <v>-3637</v>
      </c>
      <c r="D40" s="29">
        <f>-D9</f>
        <v>-3637</v>
      </c>
    </row>
    <row r="41" spans="1:6" x14ac:dyDescent="0.2">
      <c r="A41" s="41" t="s">
        <v>182</v>
      </c>
      <c r="B41" s="42">
        <f>B39+B40</f>
        <v>2482.035442831424</v>
      </c>
      <c r="C41" s="42">
        <f>C39+C40</f>
        <v>3918.3120298258818</v>
      </c>
      <c r="D41" s="42">
        <f>D39+D40</f>
        <v>5234.1054784276384</v>
      </c>
    </row>
    <row r="42" spans="1:6" x14ac:dyDescent="0.2">
      <c r="A42" s="7" t="s">
        <v>183</v>
      </c>
      <c r="B42" s="29">
        <f>B10</f>
        <v>965</v>
      </c>
      <c r="C42" s="29">
        <f>C10</f>
        <v>965</v>
      </c>
      <c r="D42" s="29">
        <f>D10</f>
        <v>965</v>
      </c>
    </row>
    <row r="43" spans="1:6" x14ac:dyDescent="0.2">
      <c r="A43" s="30" t="s">
        <v>184</v>
      </c>
      <c r="B43" s="43">
        <f>B41/B10*100</f>
        <v>257.20574537113202</v>
      </c>
      <c r="C43" s="44">
        <f>C41/C10*100</f>
        <v>406.04269739128307</v>
      </c>
      <c r="D43" s="45">
        <f>D41/D10*100</f>
        <v>542.39435009612839</v>
      </c>
      <c r="F43" s="9" t="s">
        <v>185</v>
      </c>
    </row>
    <row r="44" spans="1:6" x14ac:dyDescent="0.2">
      <c r="A44" s="10" t="s">
        <v>154</v>
      </c>
      <c r="B44" s="27">
        <f>B11</f>
        <v>388</v>
      </c>
      <c r="C44" s="27">
        <f>C11</f>
        <v>388</v>
      </c>
      <c r="D44" s="27">
        <f>D11</f>
        <v>388</v>
      </c>
    </row>
    <row r="45" spans="1:6" x14ac:dyDescent="0.2">
      <c r="A45" s="7" t="s">
        <v>186</v>
      </c>
      <c r="B45" s="46">
        <f>(B43-B44)/B44</f>
        <v>-0.3370985944042989</v>
      </c>
      <c r="C45" s="47">
        <f>(C43-C44)/C44</f>
        <v>4.6501797400214095E-2</v>
      </c>
      <c r="D45" s="48">
        <f>(D43-D44)/D44</f>
        <v>0.39792358272198042</v>
      </c>
    </row>
    <row r="46" spans="1:6" x14ac:dyDescent="0.2">
      <c r="A46" s="10" t="s">
        <v>155</v>
      </c>
      <c r="B46" s="27">
        <f>B12</f>
        <v>567</v>
      </c>
      <c r="C46" s="27">
        <f>C12</f>
        <v>567</v>
      </c>
      <c r="D46" s="27">
        <f>D12</f>
        <v>567</v>
      </c>
    </row>
    <row r="47" spans="1:6" x14ac:dyDescent="0.2">
      <c r="A47" s="7" t="s">
        <v>187</v>
      </c>
      <c r="B47" s="19">
        <f>(B43-B46)/B46</f>
        <v>-0.54637434678812691</v>
      </c>
      <c r="C47" s="19">
        <f>(C43-C46)/C46</f>
        <v>-0.28387531324288701</v>
      </c>
      <c r="D47" s="19">
        <f>(D43-D46)/D46</f>
        <v>-4.3396207943336172E-2</v>
      </c>
      <c r="F47" s="9" t="s">
        <v>188</v>
      </c>
    </row>
    <row r="49" spans="1:6" x14ac:dyDescent="0.2">
      <c r="A49" s="5" t="s">
        <v>189</v>
      </c>
      <c r="B49" s="6"/>
      <c r="C49" s="6"/>
      <c r="D49" s="6"/>
      <c r="E49" s="6"/>
    </row>
    <row r="50" spans="1:6" x14ac:dyDescent="0.2">
      <c r="A50" s="10" t="s">
        <v>190</v>
      </c>
      <c r="B50" s="27">
        <f>(B44/100*B10+B9)</f>
        <v>7381.2</v>
      </c>
      <c r="C50" s="27">
        <f>(C44/100*C10+C9)</f>
        <v>7381.2</v>
      </c>
      <c r="D50" s="27">
        <f>(D44/100*D10+D9)</f>
        <v>7381.2</v>
      </c>
      <c r="F50" s="9" t="s">
        <v>191</v>
      </c>
    </row>
    <row r="51" spans="1:6" x14ac:dyDescent="0.2">
      <c r="A51" s="7" t="s">
        <v>192</v>
      </c>
      <c r="B51" s="19">
        <f>B5/B50</f>
        <v>5.9475424050289924E-2</v>
      </c>
      <c r="C51" s="19">
        <f>C5/C50</f>
        <v>5.9475424050289924E-2</v>
      </c>
      <c r="D51" s="19">
        <f>D5/D50</f>
        <v>5.9475424050289924E-2</v>
      </c>
      <c r="F51" s="9" t="s">
        <v>193</v>
      </c>
    </row>
    <row r="53" spans="1:6" x14ac:dyDescent="0.2">
      <c r="A53" s="5" t="s">
        <v>194</v>
      </c>
      <c r="B53" s="6"/>
      <c r="C53" s="6"/>
      <c r="D53" s="6"/>
      <c r="E53" s="6"/>
    </row>
    <row r="54" spans="1:6" x14ac:dyDescent="0.2">
      <c r="F54" s="9" t="s">
        <v>195</v>
      </c>
    </row>
    <row r="55" spans="1:6" x14ac:dyDescent="0.2">
      <c r="A55" s="7" t="s">
        <v>196</v>
      </c>
      <c r="B55" s="49" t="s">
        <v>197</v>
      </c>
      <c r="C55" s="49" t="s">
        <v>198</v>
      </c>
      <c r="D55" s="49" t="s">
        <v>199</v>
      </c>
      <c r="E55" s="49" t="s">
        <v>200</v>
      </c>
      <c r="F55" s="49" t="s">
        <v>201</v>
      </c>
    </row>
    <row r="56" spans="1:6" x14ac:dyDescent="0.2">
      <c r="A56" s="7" t="s">
        <v>202</v>
      </c>
      <c r="B56" s="29">
        <f>(((C5*(1+0)^1/(1+C8)^1)+(C5*(1+0)^2/(1+C8)^2)+(C5*(1+0)^3/(1+C8)^3)+(C5*(1+0)^4/(1+C8)^4)+(C5*(1+0)^5/(1+C8)^5))+(C5*(1+0)^5/0.045/(1+C8)^5)-C9)/C10*100</f>
        <v>423.27335279823365</v>
      </c>
      <c r="C56" s="29">
        <f>(((C5*(1+0)^1/(1+C8)^1)+(C5*(1+0)^2/(1+C8)^2)+(C5*(1+0)^3/(1+C8)^3)+(C5*(1+0)^4/(1+C8)^4)+(C5*(1+0)^5/(1+C8)^5))+(C5*(1+0)^5/0.05/(1+C8)^5)-C9)/C10*100</f>
        <v>360.50203194090045</v>
      </c>
      <c r="D56" s="29">
        <f>(((C5*(1+0)^1/(1+C8)^1)+(C5*(1+0)^2/(1+C8)^2)+(C5*(1+0)^3/(1+C8)^3)+(C5*(1+0)^4/(1+C8)^4)+(C5*(1+0)^5/(1+C8)^5))+(C5*(1+0)^5/0.055/(1+C8)^5)-C9)/C10*100</f>
        <v>309.14367851217344</v>
      </c>
      <c r="E56" s="29">
        <f>(((C5*(1+0)^1/(1+C8)^1)+(C5*(1+0)^2/(1+C8)^2)+(C5*(1+0)^3/(1+C8)^3)+(C5*(1+0)^4/(1+C8)^4)+(C5*(1+0)^5/(1+C8)^5))+(C5*(1+0)^5/0.06/(1+C8)^5)-C9)/C10*100</f>
        <v>266.34505065490072</v>
      </c>
      <c r="F56" s="29">
        <f>(((C5*(1+0)^1/(1+C8)^1)+(C5*(1+0)^2/(1+C8)^2)+(C5*(1+0)^3/(1+C8)^3)+(C5*(1+0)^4/(1+C8)^4)+(C5*(1+0)^5/(1+C8)^5))+(C5*(1+0)^5/0.065/(1+C8)^5)-C9)/C10*100</f>
        <v>230.13082708336242</v>
      </c>
    </row>
    <row r="57" spans="1:6" x14ac:dyDescent="0.2">
      <c r="A57" s="7" t="s">
        <v>203</v>
      </c>
      <c r="B57" s="29">
        <f>(((C5*(1+0.02)^1/(1+C8)^1)+(C5*(1+0.02)^2/(1+C8)^2)+(C5*(1+0.02)^3/(1+C8)^3)+(C5*(1+0.02)^4/(1+C8)^4)+(C5*(1+0.02)^5/(1+C8)^5))+(C5*(1+0.02)^5/0.045/(1+C8)^5)-C9)/C10*100</f>
        <v>498.54561664316208</v>
      </c>
      <c r="C57" s="29">
        <f>(((C5*(1+0.02)^1/(1+C8)^1)+(C5*(1+0.02)^2/(1+C8)^2)+(C5*(1+0.02)^3/(1+C8)^3)+(C5*(1+0.02)^4/(1+C8)^4)+(C5*(1+0.02)^5/(1+C8)^5))+(C5*(1+0.02)^5/0.05/(1+C8)^5)-C9)/C10*100</f>
        <v>429.24100629307287</v>
      </c>
      <c r="D57" s="29">
        <f>(((C5*(1+0.02)^1/(1+C8)^1)+(C5*(1+0.02)^2/(1+C8)^2)+(C5*(1+0.02)^3/(1+C8)^3)+(C5*(1+0.02)^4/(1+C8)^4)+(C5*(1+0.02)^5/(1+C8)^5))+(C5*(1+0.02)^5/0.055/(1+C8)^5)-C9)/C10*100</f>
        <v>372.53723418845425</v>
      </c>
      <c r="E57" s="29">
        <f>(((C5*(1+0.02)^1/(1+C8)^1)+(C5*(1+0.02)^2/(1+C8)^2)+(C5*(1+0.02)^3/(1+C8)^3)+(C5*(1+0.02)^4/(1+C8)^4)+(C5*(1+0.02)^5/(1+C8)^5))+(C5*(1+0.02)^5/0.06/(1+C8)^5)-C9)/C10*100</f>
        <v>325.28409076793889</v>
      </c>
      <c r="F57" s="29">
        <f>(((C5*(1+0.02)^1/(1+C8)^1)+(C5*(1+0.02)^2/(1+C8)^2)+(C5*(1+0.02)^3/(1+C8)^3)+(C5*(1+0.02)^4/(1+C8)^4)+(C5*(1+0.02)^5/(1+C8)^5))+(C5*(1+0.02)^5/0.065/(1+C8)^5)-C9)/C10*100</f>
        <v>285.30066171981048</v>
      </c>
    </row>
    <row r="58" spans="1:6" x14ac:dyDescent="0.2">
      <c r="A58" s="7" t="s">
        <v>204</v>
      </c>
      <c r="B58" s="29">
        <f>(((C5*(1+0.03)^1/(1+C8)^1)+(C5*(1+0.03)^2/(1+C8)^2)+(C5*(1+0.03)^3/(1+C8)^3)+(C5*(1+0.03)^4/(1+C8)^4)+(C5*(1+0.03)^5/(1+C8)^5))+(C5*(1+0.03)^5/0.045/(1+C8)^5)-C9)/C10*100</f>
        <v>538.35026989941582</v>
      </c>
      <c r="C58" s="29">
        <f>(((C5*(1+0.03)^1/(1+C8)^1)+(C5*(1+0.03)^2/(1+C8)^2)+(C5*(1+0.03)^3/(1+C8)^3)+(C5*(1+0.03)^4/(1+C8)^4)+(C5*(1+0.03)^5/(1+C8)^5))+(C5*(1+0.03)^5/0.05/(1+C8)^5)-C9)/C10*100</f>
        <v>465.58110501994247</v>
      </c>
      <c r="D58" s="50">
        <f>(((C5*(1+0.03)^1/(1+C8)^1)+(C5*(1+0.03)^2/(1+C8)^2)+(C5*(1+0.03)^3/(1+C8)^3)+(C5*(1+0.03)^4/(1+C8)^4)+(C5*(1+0.03)^5/(1+C8)^5))+(C5*(1+0.03)^5/0.055/(1+C8)^5)-C9)/C10*100</f>
        <v>406.04269739128273</v>
      </c>
      <c r="E58" s="29">
        <f>(((C5*(1+0.03)^1/(1+C8)^1)+(C5*(1+0.03)^2/(1+C8)^2)+(C5*(1+0.03)^3/(1+C8)^3)+(C5*(1+0.03)^4/(1+C8)^4)+(C5*(1+0.03)^5/(1+C8)^5))+(C5*(1+0.03)^5/0.06/(1+C8)^5)-C9)/C10*100</f>
        <v>356.42735770073295</v>
      </c>
      <c r="F58" s="29">
        <f>(((C5*(1+0.03)^1/(1+C8)^1)+(C5*(1+0.03)^2/(1+C8)^2)+(C5*(1+0.03)^3/(1+C8)^3)+(C5*(1+0.03)^4/(1+C8)^4)+(C5*(1+0.03)^5/(1+C8)^5))+(C5*(1+0.03)^5/0.065/(1+C8)^5)-C9)/C10*100</f>
        <v>314.44514719334461</v>
      </c>
    </row>
    <row r="59" spans="1:6" x14ac:dyDescent="0.2">
      <c r="A59" s="7" t="s">
        <v>205</v>
      </c>
      <c r="B59" s="29">
        <f>(((C5*(1+0.05)^1/(1+C8)^1)+(C5*(1+0.05)^2/(1+C8)^2)+(C5*(1+0.05)^3/(1+C8)^3)+(C5*(1+0.05)^4/(1+C8)^4)+(C5*(1+0.05)^5/(1+C8)^5))+(C5*(1+0.05)^5/0.045/(1+C8)^5)-C9)/C10*100</f>
        <v>622.50822956011439</v>
      </c>
      <c r="C59" s="29">
        <f>(((C5*(1+0.05)^1/(1+C8)^1)+(C5*(1+0.05)^2/(1+C8)^2)+(C5*(1+0.05)^3/(1+C8)^3)+(C5*(1+0.05)^4/(1+C8)^4)+(C5*(1+0.05)^5/(1+C8)^5))+(C5*(1+0.05)^5/0.05/(1+C8)^5)-C9)/C10*100</f>
        <v>542.39435009612839</v>
      </c>
      <c r="D59" s="29">
        <f>(((C5*(1+0.05)^1/(1+C8)^1)+(C5*(1+0.05)^2/(1+C8)^2)+(C5*(1+0.05)^3/(1+C8)^3)+(C5*(1+0.05)^4/(1+C8)^4)+(C5*(1+0.05)^5/(1+C8)^5))+(C5*(1+0.05)^5/0.055/(1+C8)^5)-C9)/C10*100</f>
        <v>476.84663053468546</v>
      </c>
      <c r="E59" s="29">
        <f>(((C5*(1+0.05)^1/(1+C8)^1)+(C5*(1+0.05)^2/(1+C8)^2)+(C5*(1+0.05)^3/(1+C8)^3)+(C5*(1+0.05)^4/(1+C8)^4)+(C5*(1+0.05)^5/(1+C8)^5))+(C5*(1+0.05)^5/0.06/(1+C8)^5)-C9)/C10*100</f>
        <v>422.22353090014957</v>
      </c>
      <c r="F59" s="29">
        <f>(((C5*(1+0.05)^1/(1+C8)^1)+(C5*(1+0.05)^2/(1+C8)^2)+(C5*(1+0.05)^3/(1+C8)^3)+(C5*(1+0.05)^4/(1+C8)^4)+(C5*(1+0.05)^5/(1+C8)^5))+(C5*(1+0.05)^5/0.065/(1+C8)^5)-C9)/C10*100</f>
        <v>376.0039850555421</v>
      </c>
    </row>
    <row r="60" spans="1:6" x14ac:dyDescent="0.2">
      <c r="A60" s="7" t="s">
        <v>206</v>
      </c>
      <c r="B60" s="29">
        <f>(((C5*(1+0.07)^1/(1+C8)^1)+(C5*(1+0.07)^2/(1+C8)^2)+(C5*(1+0.07)^3/(1+C8)^3)+(C5*(1+0.07)^4/(1+C8)^4)+(C5*(1+0.07)^5/(1+C8)^5))+(C5*(1+0.07)^5/0.045/(1+C8)^5)-C9)/C10*100</f>
        <v>713.02279007494531</v>
      </c>
      <c r="C60" s="29">
        <f>(((C5*(1+0.07)^1/(1+C8)^1)+(C5*(1+0.07)^2/(1+C8)^2)+(C5*(1+0.07)^3/(1+C8)^3)+(C5*(1+0.07)^4/(1+C8)^4)+(C5*(1+0.07)^5/(1+C8)^5))+(C5*(1+0.07)^5/0.05/(1+C8)^5)-C9)/C10*100</f>
        <v>624.98276536816763</v>
      </c>
      <c r="D60" s="29">
        <f>(((C5*(1+0.07)^1/(1+C8)^1)+(C5*(1+0.07)^2/(1+C8)^2)+(C5*(1+0.07)^3/(1+C8)^3)+(C5*(1+0.07)^4/(1+C8)^4)+(C5*(1+0.07)^5/(1+C8)^5))+(C5*(1+0.07)^5/0.055/(1+C8)^5)-C9)/C10*100</f>
        <v>552.95001788080424</v>
      </c>
      <c r="E60" s="29">
        <f>(((C5*(1+0.07)^1/(1+C8)^1)+(C5*(1+0.07)^2/(1+C8)^2)+(C5*(1+0.07)^3/(1+C8)^3)+(C5*(1+0.07)^4/(1+C8)^4)+(C5*(1+0.07)^5/(1+C8)^5))+(C5*(1+0.07)^5/0.06/(1+C8)^5)-C9)/C10*100</f>
        <v>492.9227283080013</v>
      </c>
      <c r="F60" s="29">
        <f>(((C5*(1+0.07)^1/(1+C8)^1)+(C5*(1+0.07)^2/(1+C8)^2)+(C5*(1+0.07)^3/(1+C8)^3)+(C5*(1+0.07)^4/(1+C8)^4)+(C5*(1+0.07)^5/(1+C8)^5))+(C5*(1+0.07)^5/0.065/(1+C8)^5)-C9)/C10*100</f>
        <v>442.13040636178346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J22"/>
  <sheetViews>
    <sheetView tabSelected="1" zoomScale="111" zoomScaleNormal="100" workbookViewId="0">
      <selection activeCell="C20" sqref="C20"/>
    </sheetView>
  </sheetViews>
  <sheetFormatPr baseColWidth="10" defaultColWidth="8.6640625" defaultRowHeight="15" x14ac:dyDescent="0.2"/>
  <cols>
    <col min="1" max="1" width="20" customWidth="1"/>
  </cols>
  <sheetData>
    <row r="1" spans="1:10" ht="19.5" customHeight="1" x14ac:dyDescent="0.2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2">
      <c r="A3" s="30" t="s">
        <v>208</v>
      </c>
    </row>
    <row r="4" spans="1:10" ht="15" customHeight="1" x14ac:dyDescent="0.2">
      <c r="A4" s="51" t="s">
        <v>209</v>
      </c>
      <c r="B4" s="12" t="s">
        <v>90</v>
      </c>
    </row>
    <row r="5" spans="1:10" ht="15" customHeight="1" x14ac:dyDescent="0.2">
      <c r="A5" s="52" t="s">
        <v>129</v>
      </c>
      <c r="B5" s="29">
        <v>10647</v>
      </c>
    </row>
    <row r="6" spans="1:10" ht="15" customHeight="1" x14ac:dyDescent="0.2">
      <c r="A6" s="52" t="s">
        <v>130</v>
      </c>
      <c r="B6" s="29">
        <v>8895</v>
      </c>
    </row>
    <row r="7" spans="1:10" ht="15" customHeight="1" x14ac:dyDescent="0.2">
      <c r="A7" s="52" t="s">
        <v>131</v>
      </c>
      <c r="B7" s="29">
        <v>8685</v>
      </c>
    </row>
    <row r="8" spans="1:10" ht="15" customHeight="1" x14ac:dyDescent="0.2">
      <c r="A8" s="52" t="s">
        <v>132</v>
      </c>
      <c r="B8" s="29">
        <v>9489</v>
      </c>
    </row>
    <row r="10" spans="1:10" ht="15" customHeight="1" x14ac:dyDescent="0.2">
      <c r="A10" s="30" t="s">
        <v>210</v>
      </c>
    </row>
    <row r="11" spans="1:10" ht="15" customHeight="1" x14ac:dyDescent="0.2">
      <c r="A11" s="51" t="s">
        <v>209</v>
      </c>
      <c r="B11" s="12" t="s">
        <v>211</v>
      </c>
      <c r="C11" s="12" t="s">
        <v>212</v>
      </c>
    </row>
    <row r="12" spans="1:10" ht="15" customHeight="1" x14ac:dyDescent="0.2">
      <c r="A12" s="52" t="s">
        <v>131</v>
      </c>
      <c r="B12" s="29">
        <v>562</v>
      </c>
      <c r="C12" s="29">
        <v>410</v>
      </c>
    </row>
    <row r="13" spans="1:10" ht="15" customHeight="1" x14ac:dyDescent="0.2">
      <c r="A13" s="52" t="s">
        <v>132</v>
      </c>
      <c r="B13" s="29">
        <v>567</v>
      </c>
      <c r="C13" s="29">
        <v>420</v>
      </c>
    </row>
    <row r="14" spans="1:10" ht="15" customHeight="1" x14ac:dyDescent="0.2">
      <c r="A14" s="52" t="s">
        <v>213</v>
      </c>
      <c r="B14" s="29">
        <v>567</v>
      </c>
      <c r="C14" s="29">
        <v>388</v>
      </c>
    </row>
    <row r="16" spans="1:10" ht="15" customHeight="1" x14ac:dyDescent="0.2">
      <c r="A16" s="30" t="s">
        <v>214</v>
      </c>
    </row>
    <row r="17" spans="1:2" ht="15" customHeight="1" x14ac:dyDescent="0.2">
      <c r="A17" s="51" t="s">
        <v>89</v>
      </c>
      <c r="B17" s="12" t="s">
        <v>90</v>
      </c>
    </row>
    <row r="18" spans="1:2" ht="15" customHeight="1" x14ac:dyDescent="0.2">
      <c r="A18" s="52" t="s">
        <v>215</v>
      </c>
      <c r="B18" s="29">
        <v>5501</v>
      </c>
    </row>
    <row r="19" spans="1:2" ht="15" customHeight="1" x14ac:dyDescent="0.2">
      <c r="A19" s="52" t="s">
        <v>216</v>
      </c>
      <c r="B19" s="29">
        <v>2800</v>
      </c>
    </row>
    <row r="20" spans="1:2" ht="15" customHeight="1" x14ac:dyDescent="0.2">
      <c r="A20" s="52" t="s">
        <v>217</v>
      </c>
      <c r="B20" s="29">
        <v>540</v>
      </c>
    </row>
    <row r="21" spans="1:2" ht="15" customHeight="1" x14ac:dyDescent="0.2">
      <c r="A21" s="52" t="s">
        <v>218</v>
      </c>
      <c r="B21" s="29">
        <v>145</v>
      </c>
    </row>
    <row r="22" spans="1:2" ht="15" customHeight="1" x14ac:dyDescent="0.2">
      <c r="A22" s="52" t="s">
        <v>219</v>
      </c>
      <c r="B22" s="29">
        <v>503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Overview</vt:lpstr>
      <vt:lpstr>Assumptions</vt:lpstr>
      <vt:lpstr>Portfolio</vt:lpstr>
      <vt:lpstr>DCF Valuation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Nils Kastberg</cp:lastModifiedBy>
  <cp:revision>2</cp:revision>
  <dcterms:created xsi:type="dcterms:W3CDTF">2026-04-08T18:56:20Z</dcterms:created>
  <dcterms:modified xsi:type="dcterms:W3CDTF">2026-04-09T08:35:38Z</dcterms:modified>
  <dc:language>en-US</dc:language>
</cp:coreProperties>
</file>